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mc:AlternateContent xmlns:mc="http://schemas.openxmlformats.org/markup-compatibility/2006">
    <mc:Choice Requires="x15">
      <x15ac:absPath xmlns:x15ac="http://schemas.microsoft.com/office/spreadsheetml/2010/11/ac" url="https://d.docs.live.net/E7D68C59645D1056/"/>
    </mc:Choice>
  </mc:AlternateContent>
  <xr:revisionPtr revIDLastSave="227" documentId="8_{FF48970A-D525-4DD4-BC1B-45B68614FAEA}" xr6:coauthVersionLast="47" xr6:coauthVersionMax="47" xr10:uidLastSave="{75B5B8CA-13B7-48F2-9FD5-A36141A6E6DB}"/>
  <bookViews>
    <workbookView xWindow="-120" yWindow="-120" windowWidth="20730" windowHeight="11160" tabRatio="500" firstSheet="5" xr2:uid="{00000000-000D-0000-FFFF-FFFF00000000}"/>
  </bookViews>
  <sheets>
    <sheet name="Executive Summary" sheetId="1" r:id="rId1"/>
    <sheet name="Raw Data" sheetId="2" r:id="rId2"/>
    <sheet name="Business Drivers" sheetId="3" r:id="rId3"/>
    <sheet name="Growth Analysis" sheetId="4" r:id="rId4"/>
    <sheet name="Profitability" sheetId="5" r:id="rId5"/>
    <sheet name="Cash Flow &amp; Strength" sheetId="6" r:id="rId6"/>
    <sheet name="Peer Comparison" sheetId="7" r:id="rId7"/>
    <sheet name="Valuation" sheetId="8" r:id="rId8"/>
    <sheet name="Insights" sheetId="9" r:id="rId9"/>
  </sheets>
  <externalReferences>
    <externalReference r:id="rId10"/>
  </externalReferenc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 i="5" l="1"/>
  <c r="C3" i="5"/>
  <c r="D3" i="5"/>
  <c r="E3" i="5"/>
  <c r="F3" i="5"/>
  <c r="C4" i="5"/>
  <c r="D14" i="8"/>
  <c r="C7" i="8"/>
  <c r="C22" i="8" s="1"/>
  <c r="C3" i="8"/>
  <c r="C21" i="8" s="1"/>
  <c r="B3" i="8"/>
  <c r="B21" i="8" s="1"/>
  <c r="C2" i="8"/>
  <c r="C20" i="8" s="1"/>
  <c r="B2" i="8"/>
  <c r="D2" i="8" s="1"/>
  <c r="E13" i="7"/>
  <c r="D13" i="7"/>
  <c r="C14" i="8" s="1"/>
  <c r="C13" i="7"/>
  <c r="B14" i="8" s="1"/>
  <c r="C9" i="8" s="1"/>
  <c r="C24" i="8" s="1"/>
  <c r="E5" i="7"/>
  <c r="D5" i="7"/>
  <c r="C8" i="8" s="1"/>
  <c r="C23" i="8" s="1"/>
  <c r="C5" i="7"/>
  <c r="B3" i="7"/>
  <c r="B2" i="7"/>
  <c r="E4" i="6"/>
  <c r="D4" i="6"/>
  <c r="C4" i="6"/>
  <c r="B4" i="6"/>
  <c r="F5" i="5"/>
  <c r="E5" i="5"/>
  <c r="D5" i="5"/>
  <c r="C5" i="5"/>
  <c r="F4" i="5"/>
  <c r="B4" i="7" s="1"/>
  <c r="B7" i="8" s="1"/>
  <c r="E4" i="5"/>
  <c r="D4" i="5"/>
  <c r="F7" i="4"/>
  <c r="E7" i="4"/>
  <c r="D7" i="4"/>
  <c r="C7" i="4"/>
  <c r="B7" i="4"/>
  <c r="F6" i="4"/>
  <c r="E6" i="4"/>
  <c r="D6" i="4"/>
  <c r="C6" i="4"/>
  <c r="B6" i="4"/>
  <c r="F5" i="4"/>
  <c r="B10" i="8" s="1"/>
  <c r="E5" i="4"/>
  <c r="D5" i="4"/>
  <c r="C5" i="4"/>
  <c r="B5" i="4"/>
  <c r="F4" i="4"/>
  <c r="B9" i="8" s="1"/>
  <c r="E4" i="4"/>
  <c r="D4" i="4"/>
  <c r="C4" i="4"/>
  <c r="B4" i="4"/>
  <c r="F2" i="4"/>
  <c r="E2" i="4"/>
  <c r="D2" i="4"/>
  <c r="C2" i="4"/>
  <c r="B2" i="4"/>
  <c r="F8" i="2"/>
  <c r="F10" i="2" s="1"/>
  <c r="E8" i="2"/>
  <c r="D8" i="2"/>
  <c r="C8" i="2"/>
  <c r="B8" i="2"/>
  <c r="B2" i="5" l="1"/>
  <c r="B10" i="2"/>
  <c r="D2" i="5"/>
  <c r="D10" i="2"/>
  <c r="E2" i="5"/>
  <c r="E10" i="2"/>
  <c r="B13" i="7"/>
  <c r="B5" i="7"/>
  <c r="B8" i="8" s="1"/>
  <c r="D7" i="8"/>
  <c r="B22" i="8"/>
  <c r="B24" i="8"/>
  <c r="D9" i="8"/>
  <c r="B23" i="8"/>
  <c r="D8" i="8"/>
  <c r="C3" i="4"/>
  <c r="D3" i="4"/>
  <c r="C2" i="5"/>
  <c r="C10" i="2"/>
  <c r="E3" i="4"/>
  <c r="D3" i="8"/>
  <c r="B20" i="8"/>
  <c r="F3" i="4"/>
  <c r="F2" i="5"/>
  <c r="B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3" authorId="0" shapeId="0" xr:uid="{00000000-0006-0000-0500-000001000000}">
      <text>
        <r>
          <rPr>
            <sz val="10"/>
            <rFont val="Arial"/>
            <family val="2"/>
          </rPr>
          <t>FY26 CapEx figure could not be verified against the audited FY26 filing and has deliberately been left unquantified rather than using an unverified estimate.</t>
        </r>
      </text>
    </comment>
    <comment ref="F4" authorId="0" shapeId="0" xr:uid="{00000000-0006-0000-0500-000002000000}">
      <text>
        <r>
          <rPr>
            <sz val="10"/>
            <rFont val="Arial"/>
            <family val="2"/>
          </rPr>
          <t>FY26 FCF depends on verified CapEx, which is not yet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6" authorId="0" shapeId="0" xr:uid="{00000000-0006-0000-0600-000001000000}">
      <text>
        <r>
          <rPr>
            <sz val="10"/>
            <rFont val="Arial"/>
            <family val="2"/>
          </rPr>
          <t>Approximate — UTI AMC's exact 15-Sep-2026 market data not independently confirmed.</t>
        </r>
      </text>
    </comment>
    <comment ref="D7" authorId="0" shapeId="0" xr:uid="{00000000-0006-0000-0600-000002000000}">
      <text>
        <r>
          <rPr>
            <sz val="10"/>
            <rFont val="Arial"/>
            <family val="2"/>
          </rPr>
          <t>Approximate figure for UTI AMC.</t>
        </r>
      </text>
    </comment>
    <comment ref="D8" authorId="0" shapeId="0" xr:uid="{00000000-0006-0000-0600-000003000000}">
      <text>
        <r>
          <rPr>
            <sz val="10"/>
            <rFont val="Arial"/>
            <family val="2"/>
          </rPr>
          <t>Approximate figure for UTI AMC.</t>
        </r>
      </text>
    </comment>
  </commentList>
</comments>
</file>

<file path=xl/sharedStrings.xml><?xml version="1.0" encoding="utf-8"?>
<sst xmlns="http://schemas.openxmlformats.org/spreadsheetml/2006/main" count="243" uniqueCount="164">
  <si>
    <t>HDFC AMC — Financial Performance, Business Drivers &amp; Relative Valuation Analysis</t>
  </si>
  <si>
    <t>FY2022–FY2026 | Excel-Based Financial Analysis</t>
  </si>
  <si>
    <t>Project Element</t>
  </si>
  <si>
    <t>Details</t>
  </si>
  <si>
    <t>Company</t>
  </si>
  <si>
    <t>HDFC Asset Management Company Ltd.</t>
  </si>
  <si>
    <t>Analysis Period</t>
  </si>
  <si>
    <t>FY2022–FY2026</t>
  </si>
  <si>
    <t>Primary Tool</t>
  </si>
  <si>
    <t>Microsoft Excel</t>
  </si>
  <si>
    <t>Analysis Type</t>
  </si>
  <si>
    <t>Financial Performance &amp; Relative Valuation</t>
  </si>
  <si>
    <t>Peer Group</t>
  </si>
  <si>
    <t>Nippon Life AMC, UTI AMC, Aditya Birla Sun Life AMC</t>
  </si>
  <si>
    <t>Market Data Date</t>
  </si>
  <si>
    <t>15 September 2026</t>
  </si>
  <si>
    <t>Key Analytical Framework</t>
  </si>
  <si>
    <t>Business Drivers → Financial Performance → Profitability → Cash Generation → Peer Comparison → Relative Valuation</t>
  </si>
  <si>
    <t>Executive Summary</t>
  </si>
  <si>
    <t>1.</t>
  </si>
  <si>
    <t>Business Scale: HDFC AMC's closing AUM increased from ₹4.08 lakh crore in FY22 to ₹8.44 lakh crore in FY26, more than doubling over the analysis period.</t>
  </si>
  <si>
    <t>2.</t>
  </si>
  <si>
    <t>Investor Expansion: Unique investors increased from 5.8 million in FY22 to 16.7 million in FY26, indicating significant expansion of the investor base.</t>
  </si>
  <si>
    <t>3.</t>
  </si>
  <si>
    <t>Financial Performance: Revenue from operations and PAT increased substantially over FY22–FY26, with FY26 PAT reaching approximately ₹2,858 crore.</t>
  </si>
  <si>
    <t>4.</t>
  </si>
  <si>
    <t>Financial Strength: HDFC AMC maintained a debt-free position while generating positive operating cash flow throughout the analysis period.</t>
  </si>
  <si>
    <t>5.</t>
  </si>
  <si>
    <t>Relative Valuation: HDFC AMC trades at a premium to the selected AMC peers on P/E and P/B. The analysis indicates that strong profitability and earnings growth provide fundamental support for the premium, although the valuation remains an important risk factor.</t>
  </si>
  <si>
    <t>Tools &amp; Analytical Methods</t>
  </si>
  <si>
    <t>Category</t>
  </si>
  <si>
    <t>Tool</t>
  </si>
  <si>
    <t>Financial Analysis</t>
  </si>
  <si>
    <t>Revenue, PAT, margins, ROE, ROA</t>
  </si>
  <si>
    <t>Growth Analysis</t>
  </si>
  <si>
    <t>YoY Growth, CAGR</t>
  </si>
  <si>
    <t>Business Drivers</t>
  </si>
  <si>
    <t>AUM, investor base, equity-oriented AUM</t>
  </si>
  <si>
    <t>Cash Flow Analysis</t>
  </si>
  <si>
    <t>Operating Cash Flow, Free Cash Flow</t>
  </si>
  <si>
    <t>Valuation</t>
  </si>
  <si>
    <t>P/E, P/B, Peer Median</t>
  </si>
  <si>
    <t>Peer Analysis</t>
  </si>
  <si>
    <t>Visualization</t>
  </si>
  <si>
    <t>Excel charts and trend analysis</t>
  </si>
  <si>
    <t>Financial Performance, Business Drivers &amp; Relative Valuation Analysis</t>
  </si>
  <si>
    <t>Raw Financial Data — FY2022 to FY2026</t>
  </si>
  <si>
    <t>Financial Metric</t>
  </si>
  <si>
    <t>FY22</t>
  </si>
  <si>
    <t>FY23</t>
  </si>
  <si>
    <t>FY24</t>
  </si>
  <si>
    <t>FY25</t>
  </si>
  <si>
    <t>FY26</t>
  </si>
  <si>
    <t>Revenue from Operations</t>
  </si>
  <si>
    <t>Other Income</t>
  </si>
  <si>
    <t>Total Income</t>
  </si>
  <si>
    <t>Total Expenses</t>
  </si>
  <si>
    <t>Profit Before Tax</t>
  </si>
  <si>
    <t>Profit After Tax</t>
  </si>
  <si>
    <t>Total Assets</t>
  </si>
  <si>
    <t>Total Equity / Net Worth</t>
  </si>
  <si>
    <t>Interest-Bearing Debt</t>
  </si>
  <si>
    <t>Unit: ₹ crore, except where stated otherwise</t>
  </si>
  <si>
    <t>Source: HDFC Asset Management Company Ltd. Annual Reports FY2021–22 to FY2025–26 (hdfcfund.com/about-us/financial-information/annual-reports). Profit After Tax figures are as reported; other line items are as disclosed in the standalone financial statements.</t>
  </si>
  <si>
    <t>Business Driver</t>
  </si>
  <si>
    <t>Closing AUM (₹ crore)</t>
  </si>
  <si>
    <t>Equity-Oriented AUM (₹ crore)</t>
  </si>
  <si>
    <t>Unique Investors (million)</t>
  </si>
  <si>
    <t>Live Accounts (million)</t>
  </si>
  <si>
    <t>Overall AUM Market Share (%)</t>
  </si>
  <si>
    <t>-</t>
  </si>
  <si>
    <t>Active Equity Market Share (%)</t>
  </si>
  <si>
    <t>SIP AUM / Systematic AUM (₹ crore)</t>
  </si>
  <si>
    <t>200,000+</t>
  </si>
  <si>
    <t>Digital Transactions (%)</t>
  </si>
  <si>
    <t>Source: HDFC AMC FY2024–25 and FY2025–26 Annual Reports / investor disclosures. FY26 SIP AUM is reported as crossing ₹2 trillion.</t>
  </si>
  <si>
    <t>Metric</t>
  </si>
  <si>
    <t>FY22–FY26 CAGR</t>
  </si>
  <si>
    <t>Revenue Growth</t>
  </si>
  <si>
    <t>Total Income Growth</t>
  </si>
  <si>
    <t>PAT Growth</t>
  </si>
  <si>
    <t>AUM Growth</t>
  </si>
  <si>
    <t>Equity-Oriented AUM Growth</t>
  </si>
  <si>
    <t>Investor Growth</t>
  </si>
  <si>
    <t>All growth figures are calculated year-over-year from the Raw Data and Business Drivers sheets. CAGR = (FY26 value / FY22 value)^(1/4) - 1.</t>
  </si>
  <si>
    <t>Profitability Metric</t>
  </si>
  <si>
    <t>Operating Profit Margin</t>
  </si>
  <si>
    <t>Net Profit Margin</t>
  </si>
  <si>
    <t>ROE</t>
  </si>
  <si>
    <t>N/A</t>
  </si>
  <si>
    <t>ROA</t>
  </si>
  <si>
    <t>Operating Profit = Total Income − Other Income − Total Expenses, margin on Revenue from Operations. Net Profit Margin = Profit After Tax ÷ Revenue from Operations (matches company-reported convention). ROE and ROA use average (opening + closing) equity/assets;  FY25 company-reported figures: Operating Profit Margin 77.94%, Net Profit Margin 70.36%, ROE 32.35% (HDFC AMC FY2024–25 Annual Report) — this workbook's FY25 formulas reproduce those figures.  FY22 ROE and ROA are shown as N/A because the average-balance calculation needs an FY21 opening equity/assets figure, which is outside this workbook's FY22–FY26 data range. (no FY21 opening balance available)</t>
  </si>
  <si>
    <t>Cash Flow Metric</t>
  </si>
  <si>
    <t>Operating Cash Flow</t>
  </si>
  <si>
    <t>Capital Expenditure</t>
  </si>
  <si>
    <t>Not Verified</t>
  </si>
  <si>
    <t>Free Cash Flow</t>
  </si>
  <si>
    <t>Cash &amp; Cash Equivalents</t>
  </si>
  <si>
    <t>Financial Strength Indicators</t>
  </si>
  <si>
    <t>Indicator</t>
  </si>
  <si>
    <t>Debt-Free Status</t>
  </si>
  <si>
    <t>Yes</t>
  </si>
  <si>
    <t>Current Ratio</t>
  </si>
  <si>
    <t>Source: HDFC AMC FY2022–23 and FY2024–25 Annual Reports (cash-flow statements) and FY2025–26 standalone results. Capital expenditure = purchase of property, plant &amp; equipment and intangible assets. Debt/Equity and Interest Coverage are not presented because the company carries no interest-bearing debt. FY26 capital expenditure and free cash flow are shown as N/A because FY26 capex had not yet been disclosed in the standalone financial statements available at the time of this analysis.</t>
  </si>
  <si>
    <t>HDFC AMC</t>
  </si>
  <si>
    <t>Nippon Life AMC</t>
  </si>
  <si>
    <t>UTI AMC</t>
  </si>
  <si>
    <t>Aditya Birla Sun Life AMC</t>
  </si>
  <si>
    <t>Operating Revenue / Revenue from Operations (₹ Cr)</t>
  </si>
  <si>
    <t>Profit After Tax (₹ Cr)</t>
  </si>
  <si>
    <t>ROE (%)</t>
  </si>
  <si>
    <t>Net Profit Margin (%)</t>
  </si>
  <si>
    <t>Market Capitalisation (₹ Cr) — as of 15 Sep 2026</t>
  </si>
  <si>
    <t>P/E (x) — as of 15 Sep 2026</t>
  </si>
  <si>
    <t>P/B (x) — as of 15 Sep 2026</t>
  </si>
  <si>
    <t>Peer Growth Data (for PAT CAGR calculation)</t>
  </si>
  <si>
    <t>FY22 PAT (₹ Cr)</t>
  </si>
  <si>
    <t>FY26 PAT (₹ Cr) (linked)</t>
  </si>
  <si>
    <t>Peer FY26 operating revenue, PAT and ROE are from each company's FY2025–26 annual report / directors' report (Nippon Life India AMC, UTI AMC, Aditya Birla Sun Life AMC). HDFC AMC figures are linked from the Raw Data and Profitability sheets. Market capitalisation, P/E and P/B are market-price snapshots as of 15 September 2026 and will change with the share price. FY22 peer PAT figures are from each company's FY2021–22 annual report.</t>
  </si>
  <si>
    <t>Valuation Metric</t>
  </si>
  <si>
    <t>Peer Median</t>
  </si>
  <si>
    <t>HDFC AMC Premium / Discount</t>
  </si>
  <si>
    <t>P/E</t>
  </si>
  <si>
    <t>P/B</t>
  </si>
  <si>
    <t>Fundamental Comparison</t>
  </si>
  <si>
    <t>Fundamental Metric</t>
  </si>
  <si>
    <t>HDFC AMC vs Peer Median</t>
  </si>
  <si>
    <t>PAT CAGR (FY22–FY26)</t>
  </si>
  <si>
    <t>AUM CAGR (FY22–FY26)</t>
  </si>
  <si>
    <t>Peer PAT CAGR (helper)</t>
  </si>
  <si>
    <t>FY22–FY26 PAT CAGR</t>
  </si>
  <si>
    <t>Peer P/E and P/B medians exclude HDFC AMC. AUM CAGR peer median is intentionally left blank because peers disclose AUM on different bases (closing AUM vs. quarterly-average AUM), which would make a direct comparison misleading.</t>
  </si>
  <si>
    <t>Valuation Summary</t>
  </si>
  <si>
    <t>Valuation Indicator</t>
  </si>
  <si>
    <t>PAT CAGR</t>
  </si>
  <si>
    <t>Overall Valuation View</t>
  </si>
  <si>
    <t>HDFC AMC trades at a premium to the peer median on both P/E and P/B. This premium is partly supported by superior ROE, net profit margin and PAT CAGR versus peers, but it also leaves less room for disappointment if growth moderates.</t>
  </si>
  <si>
    <t>HDFC AMC — Key Financial &amp; Valuation Insights</t>
  </si>
  <si>
    <t>Insight Area</t>
  </si>
  <si>
    <t>Key Finding</t>
  </si>
  <si>
    <t>Revenue from operations increased strongly from FY22 to FY26, supported by the expansion of HDFC AMC's business scale.</t>
  </si>
  <si>
    <t>Profit after tax increased substantially over FY22–FY26, demonstrating strong earnings growth.</t>
  </si>
  <si>
    <t>Closing AUM increased from ₹4.08 lakh crore in FY22 to ₹8.44 lakh crore in FY26, more than doubling over the period.</t>
  </si>
  <si>
    <t>Profitability</t>
  </si>
  <si>
    <t>HDFC AMC maintained strong profitability, with high operating and net profit margins and a consistently strong ROE.</t>
  </si>
  <si>
    <t>Cash Generation</t>
  </si>
  <si>
    <t>Operating cash flow remained positive throughout FY22–FY26 and increased to ₹2,530.09 crore in FY26.</t>
  </si>
  <si>
    <t>Financial Strength</t>
  </si>
  <si>
    <t>HDFC AMC remained debt-free throughout the period, supporting a strong financial position.</t>
  </si>
  <si>
    <t>HDFC AMC trades at a premium to the peer median on P/E and P/B, so the premium needs to be assessed against its superior profitability and earnings growth.</t>
  </si>
  <si>
    <t>Key Risks &amp; Limitations</t>
  </si>
  <si>
    <t>Area</t>
  </si>
  <si>
    <t>Observation</t>
  </si>
  <si>
    <t>Market Dependence</t>
  </si>
  <si>
    <t>AMC revenues and AUM are influenced by equity-market performance and investor sentiment.</t>
  </si>
  <si>
    <t>Valuation Risk</t>
  </si>
  <si>
    <t>A high P/E and P/B multiple leaves less room for disappointment if future growth slows.</t>
  </si>
  <si>
    <t>Peer Comparability</t>
  </si>
  <si>
    <t>Peer AUM disclosures can use different measures such as closing AUM and QAAUM, so AUM comparisons require caution.</t>
  </si>
  <si>
    <t>Total income includes other income, which can fluctuate and should not be treated as recurring operating revenue.</t>
  </si>
  <si>
    <t>Market Data</t>
  </si>
  <si>
    <t>Valuation multiples are market-price dependent and can change daily.</t>
  </si>
  <si>
    <t>Investment &amp; Business Conclusion</t>
  </si>
  <si>
    <t>HDFC Asset Management Company demonstrated strong financial and business performance between FY22 and FY26, supported by substantial AUM expansion, increasing profitability, strong cash generation and a debt-free balance sheet. The company's earnings growth and operating performance indicate that the expansion in business scale has translated into stronger financial results.
Relative valuation analysis shows that HDFC AMC trades at a premium to the selected AMC peers on P/E and P/B. This premium is supported to an extent by its strong profitability, ROE and earnings growth; however, the elevated valuation also creates downside risk if future earnings or AUM growth moderates. Therefore, the analysis suggests that HDFC AMC's premium valuation reflects the quality and strength of its underlying fundamentals, but the valuation leaves limited room for execution or growth disappointments.
Overall, HDFC AMC presents a strong combination of business scale, profitability, financial strength and growth, while its premium valuation remains the key factor that investors need to monitor.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</si>
</sst>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
    <numFmt numFmtId="166" formatCode="0.0%;\(0.0%\);\-"/>
    <numFmt numFmtId="167" formatCode="0.00%;\(0.00%\);\-"/>
    <numFmt numFmtId="168" formatCode="0.00\x"/>
  </numFmts>
  <fonts count="17">
    <font>
      <sz val="11"/>
      <color theme="1"/>
      <name val="Calibri"/>
      <family val="2"/>
      <charset val="1"/>
    </font>
    <font>
      <b/>
      <sz val="16"/>
      <color rgb="FF1F3864"/>
      <name val="Arial"/>
      <charset val="1"/>
    </font>
    <font>
      <i/>
      <sz val="11"/>
      <color rgb="FF595959"/>
      <name val="Arial"/>
      <charset val="1"/>
    </font>
    <font>
      <b/>
      <sz val="11"/>
      <color rgb="FFFFFFFF"/>
      <name val="Arial"/>
      <charset val="1"/>
    </font>
    <font>
      <b/>
      <sz val="11"/>
      <color rgb="FF000000"/>
      <name val="Arial"/>
      <charset val="1"/>
    </font>
    <font>
      <sz val="11"/>
      <color rgb="FF000000"/>
      <name val="Arial"/>
      <charset val="1"/>
    </font>
    <font>
      <b/>
      <sz val="12"/>
      <color rgb="FF1F3864"/>
      <name val="Arial"/>
      <charset val="1"/>
    </font>
    <font>
      <sz val="11"/>
      <color rgb="FF0000FF"/>
      <name val="Arial"/>
      <charset val="1"/>
    </font>
    <font>
      <b/>
      <sz val="11"/>
      <color rgb="FF0000FF"/>
      <name val="Arial"/>
      <charset val="1"/>
    </font>
    <font>
      <i/>
      <sz val="9"/>
      <color rgb="FF595959"/>
      <name val="Arial"/>
      <charset val="1"/>
    </font>
    <font>
      <sz val="11"/>
      <color rgb="FF008000"/>
      <name val="Arial"/>
      <charset val="1"/>
    </font>
    <font>
      <b/>
      <sz val="11"/>
      <color rgb="FF008000"/>
      <name val="Arial"/>
      <charset val="1"/>
    </font>
    <font>
      <sz val="10"/>
      <name val="Arial"/>
      <family val="2"/>
    </font>
    <font>
      <b/>
      <sz val="14"/>
      <color rgb="FF1F3864"/>
      <name val="Arial"/>
    </font>
    <font>
      <b/>
      <sz val="14"/>
      <color rgb="FF1F3864"/>
      <name val="Arial"/>
      <charset val="1"/>
    </font>
    <font>
      <sz val="11"/>
      <name val="Arial"/>
      <charset val="1"/>
    </font>
    <font>
      <sz val="11"/>
      <color rgb="FFFFFFFF"/>
      <name val="Arial"/>
      <charset val="1"/>
    </font>
  </fonts>
  <fills count="3">
    <fill>
      <patternFill patternType="none"/>
    </fill>
    <fill>
      <patternFill patternType="gray125"/>
    </fill>
    <fill>
      <patternFill patternType="solid">
        <fgColor rgb="FF1F3864"/>
        <bgColor rgb="FF333399"/>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xf numFmtId="0" fontId="5" fillId="0" borderId="1" xfId="0" applyFont="1" applyBorder="1" applyAlignment="1">
      <alignment horizontal="left"/>
    </xf>
    <xf numFmtId="0" fontId="6" fillId="0" borderId="0" xfId="0" applyFont="1"/>
    <xf numFmtId="0" fontId="5" fillId="0" borderId="1" xfId="0" applyFont="1" applyBorder="1"/>
    <xf numFmtId="164" fontId="7" fillId="0" borderId="1" xfId="0" applyNumberFormat="1" applyFont="1" applyBorder="1" applyAlignment="1">
      <alignment horizontal="right"/>
    </xf>
    <xf numFmtId="164" fontId="4" fillId="0" borderId="1" xfId="0" applyNumberFormat="1" applyFont="1" applyBorder="1" applyAlignment="1">
      <alignment horizontal="right"/>
    </xf>
    <xf numFmtId="164" fontId="8" fillId="0" borderId="1" xfId="0" applyNumberFormat="1" applyFont="1" applyBorder="1" applyAlignment="1">
      <alignment horizontal="right"/>
    </xf>
    <xf numFmtId="0" fontId="9" fillId="0" borderId="0" xfId="0" applyFont="1"/>
    <xf numFmtId="165" fontId="7" fillId="0" borderId="1" xfId="0" applyNumberFormat="1" applyFont="1" applyBorder="1" applyAlignment="1">
      <alignment horizontal="right"/>
    </xf>
    <xf numFmtId="0" fontId="5" fillId="0" borderId="1" xfId="0"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right"/>
    </xf>
    <xf numFmtId="167" fontId="10" fillId="0" borderId="1" xfId="0" applyNumberFormat="1" applyFont="1" applyBorder="1" applyAlignment="1">
      <alignment horizontal="right"/>
    </xf>
    <xf numFmtId="167" fontId="11" fillId="0" borderId="1" xfId="0" applyNumberFormat="1" applyFont="1" applyBorder="1" applyAlignment="1">
      <alignment horizontal="right"/>
    </xf>
    <xf numFmtId="0" fontId="4" fillId="0" borderId="1" xfId="0" applyFont="1" applyBorder="1" applyAlignment="1">
      <alignment horizontal="right"/>
    </xf>
    <xf numFmtId="168" fontId="7" fillId="0" borderId="1" xfId="0" applyNumberFormat="1" applyFont="1" applyBorder="1" applyAlignment="1">
      <alignment horizontal="right"/>
    </xf>
    <xf numFmtId="164" fontId="10" fillId="0" borderId="1" xfId="0" applyNumberFormat="1" applyFont="1" applyBorder="1" applyAlignment="1">
      <alignment horizontal="right"/>
    </xf>
    <xf numFmtId="167" fontId="7" fillId="0" borderId="1" xfId="0" applyNumberFormat="1" applyFont="1" applyBorder="1" applyAlignment="1">
      <alignment horizontal="right"/>
    </xf>
    <xf numFmtId="167" fontId="5" fillId="0" borderId="1" xfId="0" applyNumberFormat="1" applyFont="1" applyBorder="1" applyAlignment="1">
      <alignment horizontal="right"/>
    </xf>
    <xf numFmtId="164" fontId="5" fillId="0" borderId="1" xfId="0" applyNumberFormat="1" applyFont="1" applyBorder="1" applyAlignment="1">
      <alignment horizontal="right"/>
    </xf>
    <xf numFmtId="168" fontId="10" fillId="0" borderId="1" xfId="0" applyNumberFormat="1" applyFont="1" applyBorder="1" applyAlignment="1">
      <alignment horizontal="right"/>
    </xf>
    <xf numFmtId="167" fontId="4" fillId="0" borderId="1" xfId="0" applyNumberFormat="1" applyFont="1" applyBorder="1" applyAlignment="1">
      <alignment horizontal="right"/>
    </xf>
    <xf numFmtId="168" fontId="5" fillId="0" borderId="1" xfId="0" applyNumberFormat="1" applyFont="1" applyBorder="1" applyAlignment="1">
      <alignment horizontal="right"/>
    </xf>
    <xf numFmtId="0" fontId="5" fillId="0" borderId="1" xfId="0" applyFont="1" applyBorder="1" applyAlignment="1">
      <alignment vertical="top" wrapText="1"/>
    </xf>
    <xf numFmtId="10" fontId="5" fillId="0" borderId="1" xfId="0" applyNumberFormat="1" applyFont="1" applyBorder="1" applyAlignment="1">
      <alignment horizontal="right"/>
    </xf>
    <xf numFmtId="0" fontId="3" fillId="2" borderId="2" xfId="0" applyFont="1" applyFill="1" applyBorder="1" applyAlignment="1">
      <alignment horizontal="center" vertical="center" wrapText="1"/>
    </xf>
    <xf numFmtId="0" fontId="4" fillId="0" borderId="2" xfId="0" applyFont="1" applyBorder="1"/>
    <xf numFmtId="0" fontId="5" fillId="0" borderId="2" xfId="0" applyFont="1" applyBorder="1" applyAlignment="1">
      <alignment horizontal="left"/>
    </xf>
    <xf numFmtId="0" fontId="4" fillId="0" borderId="2" xfId="0" applyFont="1" applyBorder="1" applyAlignment="1">
      <alignment horizontal="left" vertical="top"/>
    </xf>
    <xf numFmtId="0" fontId="5" fillId="0" borderId="2" xfId="0" applyFont="1" applyBorder="1" applyAlignment="1">
      <alignment vertical="top" wrapText="1"/>
    </xf>
    <xf numFmtId="0" fontId="16" fillId="2" borderId="1" xfId="0" applyFont="1" applyFill="1" applyBorder="1" applyAlignment="1">
      <alignment horizontal="center" vertical="center" wrapText="1"/>
    </xf>
    <xf numFmtId="0" fontId="9" fillId="0" borderId="2" xfId="0" applyFont="1" applyBorder="1" applyAlignment="1">
      <alignment vertical="top" wrapText="1"/>
    </xf>
    <xf numFmtId="0" fontId="6" fillId="0" borderId="0" xfId="0" applyFont="1" applyAlignment="1"/>
    <xf numFmtId="0" fontId="1" fillId="0" borderId="0" xfId="0" applyFont="1" applyAlignment="1"/>
    <xf numFmtId="0" fontId="2" fillId="0" borderId="0" xfId="0" applyFont="1" applyAlignment="1"/>
    <xf numFmtId="0" fontId="15" fillId="0" borderId="2" xfId="0" applyFont="1" applyBorder="1" applyAlignment="1"/>
    <xf numFmtId="0" fontId="13" fillId="0" borderId="2" xfId="0" applyFont="1" applyBorder="1" applyAlignment="1"/>
    <xf numFmtId="0" fontId="14" fillId="0" borderId="2" xfId="0" applyFont="1" applyBorder="1" applyAlignment="1"/>
    <xf numFmtId="0" fontId="5" fillId="0" borderId="3" xfId="0" applyFont="1" applyBorder="1" applyAlignment="1">
      <alignment vertical="top" wrapText="1"/>
    </xf>
    <xf numFmtId="0" fontId="5" fillId="0" borderId="2"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BE4B48"/>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7D5FA0"/>
      <rgbColor rgb="FF969696"/>
      <rgbColor rgb="FF1F3864"/>
      <rgbColor rgb="FF4F81BD"/>
      <rgbColor rgb="FF003300"/>
      <rgbColor rgb="FF333300"/>
      <rgbColor rgb="FF993300"/>
      <rgbColor rgb="FFC0504D"/>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HDFC AMC Revenue &amp; Profit Growth (FY22–FY26)</a:t>
            </a:r>
          </a:p>
        </c:rich>
      </c:tx>
      <c:overlay val="0"/>
      <c:spPr>
        <a:noFill/>
        <a:ln w="0">
          <a:noFill/>
        </a:ln>
      </c:spPr>
    </c:title>
    <c:autoTitleDeleted val="0"/>
    <c:plotArea>
      <c:layout/>
      <c:lineChart>
        <c:grouping val="standard"/>
        <c:varyColors val="0"/>
        <c:ser>
          <c:idx val="0"/>
          <c:order val="0"/>
          <c:tx>
            <c:strRef>
              <c:f>'Raw Data'!$A$6</c:f>
              <c:strCache>
                <c:ptCount val="1"/>
                <c:pt idx="0">
                  <c:v>Revenue from Operations</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'Raw Data'!$B$5:$F$5</c:f>
              <c:strCache>
                <c:ptCount val="5"/>
                <c:pt idx="0">
                  <c:v>FY22</c:v>
                </c:pt>
                <c:pt idx="1">
                  <c:v>FY23</c:v>
                </c:pt>
                <c:pt idx="2">
                  <c:v>FY24</c:v>
                </c:pt>
                <c:pt idx="3">
                  <c:v>FY25</c:v>
                </c:pt>
                <c:pt idx="4">
                  <c:v>FY26</c:v>
                </c:pt>
              </c:strCache>
            </c:strRef>
          </c:cat>
          <c:val>
            <c:numRef>
              <c:f>'Raw Data'!$B$6:$F$6</c:f>
              <c:numCache>
                <c:formatCode>#,##0.00;\(#,##0.00\);\-</c:formatCode>
                <c:ptCount val="5"/>
                <c:pt idx="0">
                  <c:v>2115.36</c:v>
                </c:pt>
                <c:pt idx="1">
                  <c:v>2166.81</c:v>
                </c:pt>
                <c:pt idx="2">
                  <c:v>2584.37</c:v>
                </c:pt>
                <c:pt idx="3">
                  <c:v>3498.03</c:v>
                </c:pt>
                <c:pt idx="4">
                  <c:v>4118.53</c:v>
                </c:pt>
              </c:numCache>
            </c:numRef>
          </c:val>
          <c:smooth val="1"/>
          <c:extLst>
            <c:ext xmlns:c16="http://schemas.microsoft.com/office/drawing/2014/chart" uri="{C3380CC4-5D6E-409C-BE32-E72D297353CC}">
              <c16:uniqueId val="{00000000-1FAB-4C60-B4FC-51FBE821DE5D}"/>
            </c:ext>
          </c:extLst>
        </c:ser>
        <c:ser>
          <c:idx val="1"/>
          <c:order val="1"/>
          <c:tx>
            <c:strRef>
              <c:f>'Raw Data'!$A$11</c:f>
              <c:strCache>
                <c:ptCount val="1"/>
                <c:pt idx="0">
                  <c:v>Profit After Tax</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'Raw Data'!$B$5:$F$5</c:f>
              <c:strCache>
                <c:ptCount val="5"/>
                <c:pt idx="0">
                  <c:v>FY22</c:v>
                </c:pt>
                <c:pt idx="1">
                  <c:v>FY23</c:v>
                </c:pt>
                <c:pt idx="2">
                  <c:v>FY24</c:v>
                </c:pt>
                <c:pt idx="3">
                  <c:v>FY25</c:v>
                </c:pt>
                <c:pt idx="4">
                  <c:v>FY26</c:v>
                </c:pt>
              </c:strCache>
            </c:strRef>
          </c:cat>
          <c:val>
            <c:numRef>
              <c:f>'Raw Data'!$B$11:$F$11</c:f>
              <c:numCache>
                <c:formatCode>#,##0.00;\(#,##0.00\);\-</c:formatCode>
                <c:ptCount val="5"/>
                <c:pt idx="0">
                  <c:v>1393.13</c:v>
                </c:pt>
                <c:pt idx="1">
                  <c:v>1423.92</c:v>
                </c:pt>
                <c:pt idx="2">
                  <c:v>1945.88</c:v>
                </c:pt>
                <c:pt idx="3">
                  <c:v>2461.0500000000002</c:v>
                </c:pt>
                <c:pt idx="4">
                  <c:v>2858.06</c:v>
                </c:pt>
              </c:numCache>
            </c:numRef>
          </c:val>
          <c:smooth val="1"/>
          <c:extLst>
            <c:ext xmlns:c16="http://schemas.microsoft.com/office/drawing/2014/chart" uri="{C3380CC4-5D6E-409C-BE32-E72D297353CC}">
              <c16:uniqueId val="{00000001-1FAB-4C60-B4FC-51FBE821DE5D}"/>
            </c:ext>
          </c:extLst>
        </c:ser>
        <c:dLbls>
          <c:showLegendKey val="0"/>
          <c:showVal val="0"/>
          <c:showCatName val="0"/>
          <c:showSerName val="0"/>
          <c:showPercent val="0"/>
          <c:showBubbleSize val="0"/>
        </c:dLbls>
        <c:hiLowLines>
          <c:spPr>
            <a:ln w="0">
              <a:noFill/>
            </a:ln>
          </c:spPr>
        </c:hiLowLines>
        <c:smooth val="0"/>
        <c:axId val="9352785"/>
        <c:axId val="76842840"/>
      </c:lineChart>
      <c:catAx>
        <c:axId val="935278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842840"/>
        <c:crosses val="autoZero"/>
        <c:auto val="1"/>
        <c:lblAlgn val="ctr"/>
        <c:lblOffset val="100"/>
        <c:noMultiLvlLbl val="0"/>
      </c:catAx>
      <c:valAx>
        <c:axId val="7684284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Crore</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5278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HDFC AMC AUM &amp; Investor Growth (FY22–FY26)</a:t>
            </a:r>
          </a:p>
        </c:rich>
      </c:tx>
      <c:overlay val="0"/>
      <c:spPr>
        <a:noFill/>
        <a:ln w="0">
          <a:noFill/>
        </a:ln>
      </c:spPr>
    </c:title>
    <c:autoTitleDeleted val="0"/>
    <c:plotArea>
      <c:layout/>
      <c:lineChart>
        <c:grouping val="standard"/>
        <c:varyColors val="0"/>
        <c:ser>
          <c:idx val="0"/>
          <c:order val="0"/>
          <c:tx>
            <c:strRef>
              <c:f>'Business Drivers'!$A$2</c:f>
              <c:strCache>
                <c:ptCount val="1"/>
                <c:pt idx="0">
                  <c:v>Closing AUM (₹ crore)</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'Business Drivers'!$B$1:$F$1</c:f>
              <c:strCache>
                <c:ptCount val="5"/>
                <c:pt idx="0">
                  <c:v>FY22</c:v>
                </c:pt>
                <c:pt idx="1">
                  <c:v>FY23</c:v>
                </c:pt>
                <c:pt idx="2">
                  <c:v>FY24</c:v>
                </c:pt>
                <c:pt idx="3">
                  <c:v>FY25</c:v>
                </c:pt>
                <c:pt idx="4">
                  <c:v>FY26</c:v>
                </c:pt>
              </c:strCache>
            </c:strRef>
          </c:cat>
          <c:val>
            <c:numRef>
              <c:f>'Business Drivers'!$B$2:$F$2</c:f>
              <c:numCache>
                <c:formatCode>#,##0.0;\(#,##0.0\);\-</c:formatCode>
                <c:ptCount val="5"/>
                <c:pt idx="0">
                  <c:v>407553</c:v>
                </c:pt>
                <c:pt idx="1">
                  <c:v>436696</c:v>
                </c:pt>
                <c:pt idx="2">
                  <c:v>607342</c:v>
                </c:pt>
                <c:pt idx="3">
                  <c:v>754453</c:v>
                </c:pt>
                <c:pt idx="4">
                  <c:v>844000</c:v>
                </c:pt>
              </c:numCache>
            </c:numRef>
          </c:val>
          <c:smooth val="1"/>
          <c:extLst>
            <c:ext xmlns:c16="http://schemas.microsoft.com/office/drawing/2014/chart" uri="{C3380CC4-5D6E-409C-BE32-E72D297353CC}">
              <c16:uniqueId val="{00000000-1983-45D0-A2C1-51584E3A2F14}"/>
            </c:ext>
          </c:extLst>
        </c:ser>
        <c:dLbls>
          <c:showLegendKey val="0"/>
          <c:showVal val="0"/>
          <c:showCatName val="0"/>
          <c:showSerName val="0"/>
          <c:showPercent val="0"/>
          <c:showBubbleSize val="0"/>
        </c:dLbls>
        <c:hiLowLines>
          <c:spPr>
            <a:ln w="0">
              <a:noFill/>
            </a:ln>
          </c:spPr>
        </c:hiLowLines>
        <c:marker val="1"/>
        <c:smooth val="0"/>
        <c:axId val="17390679"/>
        <c:axId val="29503765"/>
      </c:lineChart>
      <c:lineChart>
        <c:grouping val="standard"/>
        <c:varyColors val="0"/>
        <c:ser>
          <c:idx val="1"/>
          <c:order val="1"/>
          <c:tx>
            <c:strRef>
              <c:f>'Business Drivers'!$A$4</c:f>
              <c:strCache>
                <c:ptCount val="1"/>
                <c:pt idx="0">
                  <c:v>Unique Investors (million)</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'Business Drivers'!$B$1:$F$1</c:f>
              <c:strCache>
                <c:ptCount val="5"/>
                <c:pt idx="0">
                  <c:v>FY22</c:v>
                </c:pt>
                <c:pt idx="1">
                  <c:v>FY23</c:v>
                </c:pt>
                <c:pt idx="2">
                  <c:v>FY24</c:v>
                </c:pt>
                <c:pt idx="3">
                  <c:v>FY25</c:v>
                </c:pt>
                <c:pt idx="4">
                  <c:v>FY26</c:v>
                </c:pt>
              </c:strCache>
            </c:strRef>
          </c:cat>
          <c:val>
            <c:numRef>
              <c:f>'Business Drivers'!$B$4:$F$4</c:f>
              <c:numCache>
                <c:formatCode>#,##0.0;\(#,##0.0\);\-</c:formatCode>
                <c:ptCount val="5"/>
                <c:pt idx="0">
                  <c:v>5.8</c:v>
                </c:pt>
                <c:pt idx="1">
                  <c:v>6.6</c:v>
                </c:pt>
                <c:pt idx="2">
                  <c:v>9.6</c:v>
                </c:pt>
                <c:pt idx="3">
                  <c:v>13.2</c:v>
                </c:pt>
                <c:pt idx="4">
                  <c:v>16.7</c:v>
                </c:pt>
              </c:numCache>
            </c:numRef>
          </c:val>
          <c:smooth val="1"/>
          <c:extLst>
            <c:ext xmlns:c16="http://schemas.microsoft.com/office/drawing/2014/chart" uri="{C3380CC4-5D6E-409C-BE32-E72D297353CC}">
              <c16:uniqueId val="{00000001-1983-45D0-A2C1-51584E3A2F14}"/>
            </c:ext>
          </c:extLst>
        </c:ser>
        <c:dLbls>
          <c:showLegendKey val="0"/>
          <c:showVal val="0"/>
          <c:showCatName val="0"/>
          <c:showSerName val="0"/>
          <c:showPercent val="0"/>
          <c:showBubbleSize val="0"/>
        </c:dLbls>
        <c:hiLowLines>
          <c:spPr>
            <a:ln w="0">
              <a:noFill/>
            </a:ln>
          </c:spPr>
        </c:hiLowLines>
        <c:marker val="1"/>
        <c:smooth val="0"/>
        <c:axId val="46883977"/>
        <c:axId val="3427848"/>
      </c:lineChart>
      <c:catAx>
        <c:axId val="1739067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503765"/>
        <c:crosses val="autoZero"/>
        <c:auto val="1"/>
        <c:lblAlgn val="ctr"/>
        <c:lblOffset val="100"/>
        <c:noMultiLvlLbl val="0"/>
      </c:catAx>
      <c:valAx>
        <c:axId val="2950376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Closing AUM (₹ Crore)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390679"/>
        <c:crosses val="min"/>
        <c:crossBetween val="between"/>
      </c:valAx>
      <c:catAx>
        <c:axId val="4688397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27848"/>
        <c:crosses val="autoZero"/>
        <c:auto val="1"/>
        <c:lblAlgn val="ctr"/>
        <c:lblOffset val="100"/>
        <c:noMultiLvlLbl val="0"/>
      </c:catAx>
      <c:valAx>
        <c:axId val="3427848"/>
        <c:scaling>
          <c:orientation val="minMax"/>
        </c:scaling>
        <c:delete val="0"/>
        <c:axPos val="r"/>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Unique Investors (million)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883977"/>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HDFC AMC Profitability &amp; Return Ratios (FY22–FY26)</a:t>
            </a:r>
          </a:p>
        </c:rich>
      </c:tx>
      <c:overlay val="0"/>
      <c:spPr>
        <a:noFill/>
        <a:ln w="0">
          <a:noFill/>
        </a:ln>
      </c:spPr>
    </c:title>
    <c:autoTitleDeleted val="0"/>
    <c:plotArea>
      <c:layout/>
      <c:lineChart>
        <c:grouping val="standard"/>
        <c:varyColors val="0"/>
        <c:ser>
          <c:idx val="0"/>
          <c:order val="0"/>
          <c:tx>
            <c:strRef>
              <c:f>Profitability!$A$2</c:f>
              <c:strCache>
                <c:ptCount val="1"/>
                <c:pt idx="0">
                  <c:v>Operating Profit Margin</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Profitability!$B$1:$F$1</c:f>
              <c:strCache>
                <c:ptCount val="5"/>
                <c:pt idx="0">
                  <c:v>FY22</c:v>
                </c:pt>
                <c:pt idx="1">
                  <c:v>FY23</c:v>
                </c:pt>
                <c:pt idx="2">
                  <c:v>FY24</c:v>
                </c:pt>
                <c:pt idx="3">
                  <c:v>FY25</c:v>
                </c:pt>
                <c:pt idx="4">
                  <c:v>FY26</c:v>
                </c:pt>
              </c:strCache>
            </c:strRef>
          </c:cat>
          <c:val>
            <c:numRef>
              <c:f>Profitability!$B$2:$F$2</c:f>
              <c:numCache>
                <c:formatCode>0.00%;\(0.00%\);\-</c:formatCode>
                <c:ptCount val="5"/>
                <c:pt idx="0">
                  <c:v>0.72680300279857812</c:v>
                </c:pt>
                <c:pt idx="1">
                  <c:v>0.71757560653679808</c:v>
                </c:pt>
                <c:pt idx="2">
                  <c:v>0.73523914919303346</c:v>
                </c:pt>
                <c:pt idx="3">
                  <c:v>0.77935580884097622</c:v>
                </c:pt>
                <c:pt idx="4">
                  <c:v>0.77975636938422221</c:v>
                </c:pt>
              </c:numCache>
            </c:numRef>
          </c:val>
          <c:smooth val="1"/>
          <c:extLst>
            <c:ext xmlns:c16="http://schemas.microsoft.com/office/drawing/2014/chart" uri="{C3380CC4-5D6E-409C-BE32-E72D297353CC}">
              <c16:uniqueId val="{00000000-9942-46D5-B022-CCFC419EABA4}"/>
            </c:ext>
          </c:extLst>
        </c:ser>
        <c:ser>
          <c:idx val="1"/>
          <c:order val="1"/>
          <c:tx>
            <c:strRef>
              <c:f>Profitability!$A$3</c:f>
              <c:strCache>
                <c:ptCount val="1"/>
                <c:pt idx="0">
                  <c:v>Net Profit Margin</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Profitability!$B$1:$F$1</c:f>
              <c:strCache>
                <c:ptCount val="5"/>
                <c:pt idx="0">
                  <c:v>FY22</c:v>
                </c:pt>
                <c:pt idx="1">
                  <c:v>FY23</c:v>
                </c:pt>
                <c:pt idx="2">
                  <c:v>FY24</c:v>
                </c:pt>
                <c:pt idx="3">
                  <c:v>FY25</c:v>
                </c:pt>
                <c:pt idx="4">
                  <c:v>FY26</c:v>
                </c:pt>
              </c:strCache>
            </c:strRef>
          </c:cat>
          <c:val>
            <c:numRef>
              <c:f>Profitability!$B$3:$F$3</c:f>
              <c:numCache>
                <c:formatCode>0.00%;\(0.00%\);\-</c:formatCode>
                <c:ptCount val="5"/>
                <c:pt idx="0">
                  <c:v>0.65857820891006735</c:v>
                </c:pt>
                <c:pt idx="1">
                  <c:v>0.65715037312916225</c:v>
                </c:pt>
                <c:pt idx="2">
                  <c:v>0.75294172274093885</c:v>
                </c:pt>
                <c:pt idx="3">
                  <c:v>0.70355314276893</c:v>
                </c:pt>
                <c:pt idx="4">
                  <c:v>0.69395148268921192</c:v>
                </c:pt>
              </c:numCache>
            </c:numRef>
          </c:val>
          <c:smooth val="1"/>
          <c:extLst>
            <c:ext xmlns:c16="http://schemas.microsoft.com/office/drawing/2014/chart" uri="{C3380CC4-5D6E-409C-BE32-E72D297353CC}">
              <c16:uniqueId val="{00000001-9942-46D5-B022-CCFC419EABA4}"/>
            </c:ext>
          </c:extLst>
        </c:ser>
        <c:ser>
          <c:idx val="2"/>
          <c:order val="2"/>
          <c:tx>
            <c:strRef>
              <c:f>Profitability!$A$4</c:f>
              <c:strCache>
                <c:ptCount val="1"/>
                <c:pt idx="0">
                  <c:v>ROE</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Profitability!$B$1:$F$1</c:f>
              <c:strCache>
                <c:ptCount val="5"/>
                <c:pt idx="0">
                  <c:v>FY22</c:v>
                </c:pt>
                <c:pt idx="1">
                  <c:v>FY23</c:v>
                </c:pt>
                <c:pt idx="2">
                  <c:v>FY24</c:v>
                </c:pt>
                <c:pt idx="3">
                  <c:v>FY25</c:v>
                </c:pt>
                <c:pt idx="4">
                  <c:v>FY26</c:v>
                </c:pt>
              </c:strCache>
            </c:strRef>
          </c:cat>
          <c:val>
            <c:numRef>
              <c:f>Profitability!$B$4:$F$4</c:f>
              <c:numCache>
                <c:formatCode>0.00%;\(0.00%\);\-</c:formatCode>
                <c:ptCount val="5"/>
                <c:pt idx="0" formatCode="0.00%">
                  <c:v>0</c:v>
                </c:pt>
                <c:pt idx="1">
                  <c:v>0.24469237742139202</c:v>
                </c:pt>
                <c:pt idx="2">
                  <c:v>0.29511021059368436</c:v>
                </c:pt>
                <c:pt idx="3">
                  <c:v>0.32354118558805151</c:v>
                </c:pt>
                <c:pt idx="4">
                  <c:v>0.32917041697691307</c:v>
                </c:pt>
              </c:numCache>
            </c:numRef>
          </c:val>
          <c:smooth val="1"/>
          <c:extLst>
            <c:ext xmlns:c16="http://schemas.microsoft.com/office/drawing/2014/chart" uri="{C3380CC4-5D6E-409C-BE32-E72D297353CC}">
              <c16:uniqueId val="{00000002-9942-46D5-B022-CCFC419EABA4}"/>
            </c:ext>
          </c:extLst>
        </c:ser>
        <c:ser>
          <c:idx val="3"/>
          <c:order val="3"/>
          <c:tx>
            <c:strRef>
              <c:f>Profitability!$A$5</c:f>
              <c:strCache>
                <c:ptCount val="1"/>
                <c:pt idx="0">
                  <c:v>ROA</c:v>
                </c:pt>
              </c:strCache>
            </c:strRef>
          </c:tx>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Profitability!$B$1:$F$1</c:f>
              <c:strCache>
                <c:ptCount val="5"/>
                <c:pt idx="0">
                  <c:v>FY22</c:v>
                </c:pt>
                <c:pt idx="1">
                  <c:v>FY23</c:v>
                </c:pt>
                <c:pt idx="2">
                  <c:v>FY24</c:v>
                </c:pt>
                <c:pt idx="3">
                  <c:v>FY25</c:v>
                </c:pt>
                <c:pt idx="4">
                  <c:v>FY26</c:v>
                </c:pt>
              </c:strCache>
            </c:strRef>
          </c:cat>
          <c:val>
            <c:numRef>
              <c:f>Profitability!$B$5:$F$5</c:f>
              <c:numCache>
                <c:formatCode>0.00%;\(0.00%\);\-</c:formatCode>
                <c:ptCount val="5"/>
                <c:pt idx="0" formatCode="0.00%">
                  <c:v>0</c:v>
                </c:pt>
                <c:pt idx="1">
                  <c:v>0.22935193164155307</c:v>
                </c:pt>
                <c:pt idx="2">
                  <c:v>0.27612728180910001</c:v>
                </c:pt>
                <c:pt idx="3">
                  <c:v>0.30176234950506342</c:v>
                </c:pt>
                <c:pt idx="4">
                  <c:v>0.30498953688022962</c:v>
                </c:pt>
              </c:numCache>
            </c:numRef>
          </c:val>
          <c:smooth val="1"/>
          <c:extLst>
            <c:ext xmlns:c16="http://schemas.microsoft.com/office/drawing/2014/chart" uri="{C3380CC4-5D6E-409C-BE32-E72D297353CC}">
              <c16:uniqueId val="{00000003-9942-46D5-B022-CCFC419EABA4}"/>
            </c:ext>
          </c:extLst>
        </c:ser>
        <c:dLbls>
          <c:showLegendKey val="0"/>
          <c:showVal val="0"/>
          <c:showCatName val="0"/>
          <c:showSerName val="0"/>
          <c:showPercent val="0"/>
          <c:showBubbleSize val="0"/>
        </c:dLbls>
        <c:hiLowLines>
          <c:spPr>
            <a:ln w="0">
              <a:noFill/>
            </a:ln>
          </c:spPr>
        </c:hiLowLines>
        <c:smooth val="0"/>
        <c:axId val="23679588"/>
        <c:axId val="45562006"/>
      </c:lineChart>
      <c:catAx>
        <c:axId val="2367958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Financial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562006"/>
        <c:crosses val="autoZero"/>
        <c:auto val="1"/>
        <c:lblAlgn val="ctr"/>
        <c:lblOffset val="100"/>
        <c:noMultiLvlLbl val="0"/>
      </c:catAx>
      <c:valAx>
        <c:axId val="4556200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Percentage (%)</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6795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HDFC AMC Valuation vs Peer Median</a:t>
            </a:r>
          </a:p>
        </c:rich>
      </c:tx>
      <c:overlay val="0"/>
      <c:spPr>
        <a:noFill/>
        <a:ln w="0">
          <a:noFill/>
        </a:ln>
      </c:spPr>
    </c:title>
    <c:autoTitleDeleted val="0"/>
    <c:plotArea>
      <c:layout/>
      <c:barChart>
        <c:barDir val="col"/>
        <c:grouping val="clustered"/>
        <c:varyColors val="0"/>
        <c:ser>
          <c:idx val="0"/>
          <c:order val="0"/>
          <c:tx>
            <c:strRef>
              <c:f>Valuation!$B$1</c:f>
              <c:strCache>
                <c:ptCount val="1"/>
                <c:pt idx="0">
                  <c:v>HDFC AMC</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Valuation!$A$2:$A$3</c:f>
              <c:strCache>
                <c:ptCount val="2"/>
                <c:pt idx="0">
                  <c:v>P/E</c:v>
                </c:pt>
                <c:pt idx="1">
                  <c:v>P/B</c:v>
                </c:pt>
              </c:strCache>
            </c:strRef>
          </c:cat>
          <c:val>
            <c:numRef>
              <c:f>Valuation!$B$2:$B$3</c:f>
              <c:numCache>
                <c:formatCode>0.00\x</c:formatCode>
                <c:ptCount val="2"/>
                <c:pt idx="0">
                  <c:v>35.03</c:v>
                </c:pt>
                <c:pt idx="1">
                  <c:v>11.19</c:v>
                </c:pt>
              </c:numCache>
            </c:numRef>
          </c:val>
          <c:extLst>
            <c:ext xmlns:c16="http://schemas.microsoft.com/office/drawing/2014/chart" uri="{C3380CC4-5D6E-409C-BE32-E72D297353CC}">
              <c16:uniqueId val="{00000000-062E-4027-9332-C1C58DDF9875}"/>
            </c:ext>
          </c:extLst>
        </c:ser>
        <c:ser>
          <c:idx val="1"/>
          <c:order val="1"/>
          <c:tx>
            <c:strRef>
              <c:f>Valuation!$C$1</c:f>
              <c:strCache>
                <c:ptCount val="1"/>
                <c:pt idx="0">
                  <c:v>Peer Median</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Valuation!$A$2:$A$3</c:f>
              <c:strCache>
                <c:ptCount val="2"/>
                <c:pt idx="0">
                  <c:v>P/E</c:v>
                </c:pt>
                <c:pt idx="1">
                  <c:v>P/B</c:v>
                </c:pt>
              </c:strCache>
            </c:strRef>
          </c:cat>
          <c:val>
            <c:numRef>
              <c:f>Valuation!$C$2:$C$3</c:f>
              <c:numCache>
                <c:formatCode>0.00\x</c:formatCode>
                <c:ptCount val="2"/>
                <c:pt idx="0">
                  <c:v>27</c:v>
                </c:pt>
                <c:pt idx="1">
                  <c:v>6.28</c:v>
                </c:pt>
              </c:numCache>
            </c:numRef>
          </c:val>
          <c:extLst>
            <c:ext xmlns:c16="http://schemas.microsoft.com/office/drawing/2014/chart" uri="{C3380CC4-5D6E-409C-BE32-E72D297353CC}">
              <c16:uniqueId val="{00000001-062E-4027-9332-C1C58DDF9875}"/>
            </c:ext>
          </c:extLst>
        </c:ser>
        <c:dLbls>
          <c:showLegendKey val="0"/>
          <c:showVal val="0"/>
          <c:showCatName val="0"/>
          <c:showSerName val="0"/>
          <c:showPercent val="0"/>
          <c:showBubbleSize val="0"/>
        </c:dLbls>
        <c:gapWidth val="150"/>
        <c:axId val="81914296"/>
        <c:axId val="95718501"/>
      </c:barChart>
      <c:catAx>
        <c:axId val="8191429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Metric</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718501"/>
        <c:crosses val="autoZero"/>
        <c:auto val="1"/>
        <c:lblAlgn val="ctr"/>
        <c:lblOffset val="100"/>
        <c:noMultiLvlLbl val="0"/>
      </c:catAx>
      <c:valAx>
        <c:axId val="957185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Valuation Multiple (x)</a:t>
                </a:r>
              </a:p>
            </c:rich>
          </c:tx>
          <c:overlay val="0"/>
          <c:spPr>
            <a:noFill/>
            <a:ln w="0">
              <a:noFill/>
            </a:ln>
          </c:spPr>
        </c:title>
        <c:numFmt formatCode="0.00\x"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9142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130680</xdr:rowOff>
    </xdr:from>
    <xdr:to>
      <xdr:col>6</xdr:col>
      <xdr:colOff>503640</xdr:colOff>
      <xdr:row>37</xdr:row>
      <xdr:rowOff>110880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6</xdr:col>
      <xdr:colOff>362520</xdr:colOff>
      <xdr:row>31</xdr:row>
      <xdr:rowOff>170640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47625</xdr:rowOff>
    </xdr:from>
    <xdr:to>
      <xdr:col>7</xdr:col>
      <xdr:colOff>173880</xdr:colOff>
      <xdr:row>28</xdr:row>
      <xdr:rowOff>27765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3</xdr:row>
      <xdr:rowOff>39960</xdr:rowOff>
    </xdr:from>
    <xdr:to>
      <xdr:col>14</xdr:col>
      <xdr:colOff>255960</xdr:colOff>
      <xdr:row>18</xdr:row>
      <xdr:rowOff>71835</xdr:rowOff>
    </xdr:to>
    <xdr:graphicFrame macro="">
      <xdr:nvGraphicFramePr>
        <xdr:cNvPr id="3" name="Chart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mu%20ch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Business Drivers"/>
      <sheetName val="Raw Data"/>
      <sheetName val="Growth Analysis"/>
      <sheetName val="Profitability"/>
      <sheetName val="Cash Flow &amp; Strength"/>
      <sheetName val="Peer Comparison"/>
      <sheetName val="Valuation"/>
      <sheetName val="Insigh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showGridLines="0" tabSelected="1" zoomScaleNormal="100" workbookViewId="0">
      <selection activeCell="E8" activeCellId="1" sqref="B44 E8"/>
    </sheetView>
  </sheetViews>
  <sheetFormatPr defaultColWidth="8.7109375" defaultRowHeight="15"/>
  <cols>
    <col min="1" max="1" width="24" customWidth="1"/>
    <col min="2" max="2" width="96.28515625" customWidth="1"/>
  </cols>
  <sheetData>
    <row r="1" spans="1:2" ht="24" customHeight="1">
      <c r="A1" s="37" t="s">
        <v>0</v>
      </c>
      <c r="B1" s="37"/>
    </row>
    <row r="2" spans="1:2">
      <c r="A2" s="38" t="s">
        <v>1</v>
      </c>
      <c r="B2" s="38"/>
    </row>
    <row r="4" spans="1:2">
      <c r="A4" s="3" t="s">
        <v>2</v>
      </c>
      <c r="B4" s="3" t="s">
        <v>3</v>
      </c>
    </row>
    <row r="5" spans="1:2">
      <c r="A5" s="4" t="s">
        <v>4</v>
      </c>
      <c r="B5" s="5" t="s">
        <v>5</v>
      </c>
    </row>
    <row r="6" spans="1:2">
      <c r="A6" s="4" t="s">
        <v>6</v>
      </c>
      <c r="B6" s="5" t="s">
        <v>7</v>
      </c>
    </row>
    <row r="7" spans="1:2">
      <c r="A7" s="4" t="s">
        <v>8</v>
      </c>
      <c r="B7" s="5" t="s">
        <v>9</v>
      </c>
    </row>
    <row r="8" spans="1:2">
      <c r="A8" s="4" t="s">
        <v>10</v>
      </c>
      <c r="B8" s="5" t="s">
        <v>11</v>
      </c>
    </row>
    <row r="9" spans="1:2">
      <c r="A9" s="4" t="s">
        <v>12</v>
      </c>
      <c r="B9" s="5" t="s">
        <v>13</v>
      </c>
    </row>
    <row r="10" spans="1:2">
      <c r="A10" s="4" t="s">
        <v>14</v>
      </c>
      <c r="B10" s="5" t="s">
        <v>15</v>
      </c>
    </row>
    <row r="12" spans="1:2" ht="15.75">
      <c r="A12" s="36" t="s">
        <v>16</v>
      </c>
      <c r="B12" s="36"/>
    </row>
    <row r="13" spans="1:2" ht="21" customHeight="1">
      <c r="A13" s="39" t="s">
        <v>17</v>
      </c>
      <c r="B13" s="39"/>
    </row>
    <row r="15" spans="1:2" ht="24.75" customHeight="1">
      <c r="A15" s="40" t="s">
        <v>18</v>
      </c>
      <c r="B15" s="41"/>
    </row>
    <row r="16" spans="1:2" ht="36.75" customHeight="1">
      <c r="A16" s="32" t="s">
        <v>19</v>
      </c>
      <c r="B16" s="33" t="s">
        <v>20</v>
      </c>
    </row>
    <row r="17" spans="1:2" ht="36.75" customHeight="1">
      <c r="A17" s="32" t="s">
        <v>21</v>
      </c>
      <c r="B17" s="33" t="s">
        <v>22</v>
      </c>
    </row>
    <row r="18" spans="1:2" ht="36" customHeight="1">
      <c r="A18" s="32" t="s">
        <v>23</v>
      </c>
      <c r="B18" s="33" t="s">
        <v>24</v>
      </c>
    </row>
    <row r="19" spans="1:2" ht="38.25" customHeight="1">
      <c r="A19" s="32" t="s">
        <v>25</v>
      </c>
      <c r="B19" s="33" t="s">
        <v>26</v>
      </c>
    </row>
    <row r="20" spans="1:2" ht="53.25" customHeight="1">
      <c r="A20" s="32" t="s">
        <v>27</v>
      </c>
      <c r="B20" s="33" t="s">
        <v>28</v>
      </c>
    </row>
    <row r="23" spans="1:2" ht="15.75">
      <c r="A23" s="36" t="s">
        <v>29</v>
      </c>
      <c r="B23" s="36"/>
    </row>
    <row r="25" spans="1:2">
      <c r="A25" s="29" t="s">
        <v>30</v>
      </c>
      <c r="B25" s="29" t="s">
        <v>3</v>
      </c>
    </row>
    <row r="26" spans="1:2">
      <c r="A26" s="30" t="s">
        <v>31</v>
      </c>
      <c r="B26" s="31" t="s">
        <v>9</v>
      </c>
    </row>
    <row r="27" spans="1:2">
      <c r="A27" s="30" t="s">
        <v>32</v>
      </c>
      <c r="B27" s="31" t="s">
        <v>33</v>
      </c>
    </row>
    <row r="28" spans="1:2">
      <c r="A28" s="30" t="s">
        <v>34</v>
      </c>
      <c r="B28" s="31" t="s">
        <v>35</v>
      </c>
    </row>
    <row r="29" spans="1:2">
      <c r="A29" s="30" t="s">
        <v>36</v>
      </c>
      <c r="B29" s="31" t="s">
        <v>37</v>
      </c>
    </row>
    <row r="30" spans="1:2">
      <c r="A30" s="30" t="s">
        <v>38</v>
      </c>
      <c r="B30" s="31" t="s">
        <v>39</v>
      </c>
    </row>
    <row r="31" spans="1:2">
      <c r="A31" s="30" t="s">
        <v>40</v>
      </c>
      <c r="B31" s="31" t="s">
        <v>41</v>
      </c>
    </row>
    <row r="32" spans="1:2">
      <c r="A32" s="30" t="s">
        <v>42</v>
      </c>
      <c r="B32" s="31" t="s">
        <v>13</v>
      </c>
    </row>
    <row r="33" spans="1:2">
      <c r="A33" s="30" t="s">
        <v>43</v>
      </c>
      <c r="B33" s="31" t="s">
        <v>44</v>
      </c>
    </row>
  </sheetData>
  <mergeCells count="6">
    <mergeCell ref="A23:B23"/>
    <mergeCell ref="A1:B1"/>
    <mergeCell ref="A2:B2"/>
    <mergeCell ref="A12:B12"/>
    <mergeCell ref="A13:B13"/>
    <mergeCell ref="A15:B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showGridLines="0" zoomScaleNormal="100" workbookViewId="0">
      <selection activeCell="K10" sqref="K10"/>
    </sheetView>
  </sheetViews>
  <sheetFormatPr defaultColWidth="8.7109375" defaultRowHeight="15"/>
  <cols>
    <col min="1" max="1" width="30" customWidth="1"/>
    <col min="2" max="6" width="13" customWidth="1"/>
  </cols>
  <sheetData>
    <row r="1" spans="1:6" ht="20.25">
      <c r="A1" s="1" t="s">
        <v>5</v>
      </c>
    </row>
    <row r="2" spans="1:6" ht="15.75">
      <c r="A2" s="6" t="s">
        <v>45</v>
      </c>
    </row>
    <row r="3" spans="1:6">
      <c r="A3" s="2" t="s">
        <v>46</v>
      </c>
    </row>
    <row r="5" spans="1:6">
      <c r="A5" s="3" t="s">
        <v>47</v>
      </c>
      <c r="B5" s="34" t="s">
        <v>48</v>
      </c>
      <c r="C5" s="34" t="s">
        <v>49</v>
      </c>
      <c r="D5" s="34" t="s">
        <v>50</v>
      </c>
      <c r="E5" s="34" t="s">
        <v>51</v>
      </c>
      <c r="F5" s="34" t="s">
        <v>52</v>
      </c>
    </row>
    <row r="6" spans="1:6">
      <c r="A6" s="7" t="s">
        <v>53</v>
      </c>
      <c r="B6" s="8">
        <v>2115.36</v>
      </c>
      <c r="C6" s="8">
        <v>2166.81</v>
      </c>
      <c r="D6" s="8">
        <v>2584.37</v>
      </c>
      <c r="E6" s="8">
        <v>3498.03</v>
      </c>
      <c r="F6" s="8">
        <v>4118.53</v>
      </c>
    </row>
    <row r="7" spans="1:6">
      <c r="A7" s="7" t="s">
        <v>54</v>
      </c>
      <c r="B7" s="8">
        <v>317.83999999999997</v>
      </c>
      <c r="C7" s="8">
        <v>315.76</v>
      </c>
      <c r="D7" s="8">
        <v>578.05999999999995</v>
      </c>
      <c r="E7" s="8">
        <v>560.23</v>
      </c>
      <c r="F7" s="8">
        <v>498.73</v>
      </c>
    </row>
    <row r="8" spans="1:6">
      <c r="A8" s="4" t="s">
        <v>55</v>
      </c>
      <c r="B8" s="9">
        <f>B6+B7</f>
        <v>2433.2000000000003</v>
      </c>
      <c r="C8" s="9">
        <f>C6+C7</f>
        <v>2482.5699999999997</v>
      </c>
      <c r="D8" s="9">
        <f>D6+D7</f>
        <v>3162.43</v>
      </c>
      <c r="E8" s="9">
        <f>E6+E7</f>
        <v>4058.26</v>
      </c>
      <c r="F8" s="9">
        <f>F6+F7</f>
        <v>4617.26</v>
      </c>
    </row>
    <row r="9" spans="1:6">
      <c r="A9" s="7" t="s">
        <v>56</v>
      </c>
      <c r="B9" s="8">
        <v>577.91</v>
      </c>
      <c r="C9" s="8">
        <v>611.96</v>
      </c>
      <c r="D9" s="8">
        <v>684.24</v>
      </c>
      <c r="E9" s="8">
        <v>771.82</v>
      </c>
      <c r="F9" s="8">
        <v>907.08</v>
      </c>
    </row>
    <row r="10" spans="1:6">
      <c r="A10" s="4" t="s">
        <v>57</v>
      </c>
      <c r="B10" s="9">
        <f>B8-B9</f>
        <v>1855.2900000000004</v>
      </c>
      <c r="C10" s="9">
        <f>C8-C9</f>
        <v>1870.6099999999997</v>
      </c>
      <c r="D10" s="9">
        <f>D8-D9</f>
        <v>2478.1899999999996</v>
      </c>
      <c r="E10" s="9">
        <f>E8-E9</f>
        <v>3286.44</v>
      </c>
      <c r="F10" s="9">
        <f>F8-F9</f>
        <v>3710.1800000000003</v>
      </c>
    </row>
    <row r="11" spans="1:6">
      <c r="A11" s="4" t="s">
        <v>58</v>
      </c>
      <c r="B11" s="10">
        <v>1393.13</v>
      </c>
      <c r="C11" s="10">
        <v>1423.92</v>
      </c>
      <c r="D11" s="10">
        <v>1945.88</v>
      </c>
      <c r="E11" s="10">
        <v>2461.0500000000002</v>
      </c>
      <c r="F11" s="10">
        <v>2858.06</v>
      </c>
    </row>
    <row r="12" spans="1:6">
      <c r="A12" s="7" t="s">
        <v>59</v>
      </c>
      <c r="B12" s="8">
        <v>5880.37</v>
      </c>
      <c r="C12" s="8">
        <v>6536.53</v>
      </c>
      <c r="D12" s="8">
        <v>7557.55</v>
      </c>
      <c r="E12" s="8">
        <v>8753.6299999999992</v>
      </c>
      <c r="F12" s="8">
        <v>9988.39</v>
      </c>
    </row>
    <row r="13" spans="1:6">
      <c r="A13" s="7" t="s">
        <v>60</v>
      </c>
      <c r="B13" s="8">
        <v>5530.04</v>
      </c>
      <c r="C13" s="8">
        <v>6108.41</v>
      </c>
      <c r="D13" s="8">
        <v>7079.07</v>
      </c>
      <c r="E13" s="8">
        <v>8134.14</v>
      </c>
      <c r="F13" s="8">
        <v>9231.09</v>
      </c>
    </row>
    <row r="14" spans="1:6">
      <c r="A14" s="7" t="s">
        <v>61</v>
      </c>
      <c r="B14" s="8">
        <v>0</v>
      </c>
      <c r="C14" s="8">
        <v>0</v>
      </c>
      <c r="D14" s="8">
        <v>0</v>
      </c>
      <c r="E14" s="8">
        <v>0</v>
      </c>
      <c r="F14" s="8">
        <v>0</v>
      </c>
    </row>
    <row r="16" spans="1:6">
      <c r="A16" s="11" t="s">
        <v>62</v>
      </c>
    </row>
    <row r="17" spans="1:6" ht="42.75" customHeight="1">
      <c r="A17" s="35" t="s">
        <v>63</v>
      </c>
      <c r="B17" s="35"/>
      <c r="C17" s="35"/>
      <c r="D17" s="35"/>
      <c r="E17" s="35"/>
      <c r="F17" s="35"/>
    </row>
  </sheetData>
  <mergeCells count="1">
    <mergeCell ref="A17:F17"/>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showGridLines="0" zoomScaleNormal="100" workbookViewId="0">
      <selection activeCell="J11" sqref="J11"/>
    </sheetView>
  </sheetViews>
  <sheetFormatPr defaultColWidth="8.7109375" defaultRowHeight="15"/>
  <cols>
    <col min="1" max="1" width="32" customWidth="1"/>
    <col min="2" max="6" width="13" customWidth="1"/>
  </cols>
  <sheetData>
    <row r="1" spans="1:6">
      <c r="A1" s="3" t="s">
        <v>64</v>
      </c>
      <c r="B1" s="34" t="s">
        <v>48</v>
      </c>
      <c r="C1" s="34" t="s">
        <v>49</v>
      </c>
      <c r="D1" s="34" t="s">
        <v>50</v>
      </c>
      <c r="E1" s="34" t="s">
        <v>51</v>
      </c>
      <c r="F1" s="34" t="s">
        <v>52</v>
      </c>
    </row>
    <row r="2" spans="1:6">
      <c r="A2" s="7" t="s">
        <v>65</v>
      </c>
      <c r="B2" s="12">
        <v>407553</v>
      </c>
      <c r="C2" s="12">
        <v>436696</v>
      </c>
      <c r="D2" s="12">
        <v>607342</v>
      </c>
      <c r="E2" s="12">
        <v>754453</v>
      </c>
      <c r="F2" s="12">
        <v>844000</v>
      </c>
    </row>
    <row r="3" spans="1:6">
      <c r="A3" s="7" t="s">
        <v>66</v>
      </c>
      <c r="B3" s="12">
        <v>209000</v>
      </c>
      <c r="C3" s="12">
        <v>246000</v>
      </c>
      <c r="D3" s="12">
        <v>397000</v>
      </c>
      <c r="E3" s="12">
        <v>504000</v>
      </c>
      <c r="F3" s="12">
        <v>557500</v>
      </c>
    </row>
    <row r="4" spans="1:6">
      <c r="A4" s="7" t="s">
        <v>67</v>
      </c>
      <c r="B4" s="12">
        <v>5.8</v>
      </c>
      <c r="C4" s="12">
        <v>6.6</v>
      </c>
      <c r="D4" s="12">
        <v>9.6</v>
      </c>
      <c r="E4" s="12">
        <v>13.2</v>
      </c>
      <c r="F4" s="12">
        <v>16.7</v>
      </c>
    </row>
    <row r="5" spans="1:6">
      <c r="A5" s="7" t="s">
        <v>68</v>
      </c>
      <c r="B5" s="12">
        <v>9.9</v>
      </c>
      <c r="C5" s="12">
        <v>11.4</v>
      </c>
      <c r="D5" s="12">
        <v>16.600000000000001</v>
      </c>
      <c r="E5" s="12">
        <v>23.3</v>
      </c>
      <c r="F5" s="12">
        <v>30.2</v>
      </c>
    </row>
    <row r="6" spans="1:6">
      <c r="A6" s="7" t="s">
        <v>69</v>
      </c>
      <c r="B6" s="13" t="s">
        <v>70</v>
      </c>
      <c r="C6" s="13" t="s">
        <v>70</v>
      </c>
      <c r="D6" s="13" t="s">
        <v>70</v>
      </c>
      <c r="E6" s="14">
        <v>0.115</v>
      </c>
      <c r="F6" s="13" t="s">
        <v>70</v>
      </c>
    </row>
    <row r="7" spans="1:6">
      <c r="A7" s="7" t="s">
        <v>71</v>
      </c>
      <c r="B7" s="13" t="s">
        <v>70</v>
      </c>
      <c r="C7" s="13" t="s">
        <v>70</v>
      </c>
      <c r="D7" s="13" t="s">
        <v>70</v>
      </c>
      <c r="E7" s="14">
        <v>0.129</v>
      </c>
      <c r="F7" s="14">
        <v>0.13</v>
      </c>
    </row>
    <row r="9" spans="1:6">
      <c r="A9" s="7" t="s">
        <v>72</v>
      </c>
      <c r="B9" s="13" t="s">
        <v>70</v>
      </c>
      <c r="C9" s="13" t="s">
        <v>70</v>
      </c>
      <c r="D9" s="13" t="s">
        <v>70</v>
      </c>
      <c r="E9" s="13" t="s">
        <v>70</v>
      </c>
      <c r="F9" s="15" t="s">
        <v>73</v>
      </c>
    </row>
    <row r="10" spans="1:6">
      <c r="A10" s="7" t="s">
        <v>74</v>
      </c>
      <c r="B10" s="14">
        <v>0.76</v>
      </c>
      <c r="C10" s="14">
        <v>0.81</v>
      </c>
      <c r="D10" s="14">
        <v>0.9</v>
      </c>
      <c r="E10" s="14">
        <v>0.94</v>
      </c>
      <c r="F10" s="13" t="s">
        <v>70</v>
      </c>
    </row>
    <row r="12" spans="1:6" ht="32.25" customHeight="1">
      <c r="A12" s="35" t="s">
        <v>75</v>
      </c>
      <c r="B12" s="35"/>
      <c r="C12" s="35"/>
      <c r="D12" s="35"/>
      <c r="E12" s="35"/>
      <c r="F12" s="35"/>
    </row>
  </sheetData>
  <mergeCells count="1">
    <mergeCell ref="A12:F1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showGridLines="0" zoomScaleNormal="100" workbookViewId="0">
      <selection activeCell="H4" sqref="H4"/>
    </sheetView>
  </sheetViews>
  <sheetFormatPr defaultColWidth="8.7109375" defaultRowHeight="15"/>
  <cols>
    <col min="1" max="1" width="30" customWidth="1"/>
    <col min="2" max="5" width="12" customWidth="1"/>
    <col min="6" max="6" width="16" customWidth="1"/>
  </cols>
  <sheetData>
    <row r="1" spans="1:6" ht="28.5">
      <c r="A1" s="3" t="s">
        <v>76</v>
      </c>
      <c r="B1" s="34" t="s">
        <v>49</v>
      </c>
      <c r="C1" s="34" t="s">
        <v>50</v>
      </c>
      <c r="D1" s="34" t="s">
        <v>51</v>
      </c>
      <c r="E1" s="34" t="s">
        <v>52</v>
      </c>
      <c r="F1" s="34" t="s">
        <v>77</v>
      </c>
    </row>
    <row r="2" spans="1:6">
      <c r="A2" s="7" t="s">
        <v>78</v>
      </c>
      <c r="B2" s="16">
        <f>'Raw Data'!C6/'Raw Data'!B6-1</f>
        <v>2.4322101202632007E-2</v>
      </c>
      <c r="C2" s="16">
        <f>'Raw Data'!D6/'Raw Data'!C6-1</f>
        <v>0.19270725167411995</v>
      </c>
      <c r="D2" s="16">
        <f>'Raw Data'!E6/'Raw Data'!D6-1</f>
        <v>0.35353296935036416</v>
      </c>
      <c r="E2" s="16">
        <f>'Raw Data'!F6/'Raw Data'!E6-1</f>
        <v>0.17738555701351899</v>
      </c>
      <c r="F2" s="17">
        <f>('Raw Data'!F6/'Raw Data'!B6)^(1/4)-1</f>
        <v>0.18124364887735722</v>
      </c>
    </row>
    <row r="3" spans="1:6">
      <c r="A3" s="7" t="s">
        <v>79</v>
      </c>
      <c r="B3" s="16">
        <f>'Raw Data'!C8/'Raw Data'!B8-1</f>
        <v>2.0290152885089396E-2</v>
      </c>
      <c r="C3" s="16">
        <f>'Raw Data'!D8/'Raw Data'!C8-1</f>
        <v>0.27385330524416229</v>
      </c>
      <c r="D3" s="16">
        <f>'Raw Data'!E8/'Raw Data'!D8-1</f>
        <v>0.28327267322913086</v>
      </c>
      <c r="E3" s="16">
        <f>'Raw Data'!F8/'Raw Data'!E8-1</f>
        <v>0.13774376210494155</v>
      </c>
      <c r="F3" s="17">
        <f>('Raw Data'!F8/'Raw Data'!B8)^(1/4)-1</f>
        <v>0.17368520666184684</v>
      </c>
    </row>
    <row r="4" spans="1:6">
      <c r="A4" s="7" t="s">
        <v>80</v>
      </c>
      <c r="B4" s="16">
        <f>'Raw Data'!C11/'Raw Data'!B11-1</f>
        <v>2.2101311435400728E-2</v>
      </c>
      <c r="C4" s="16">
        <f>'Raw Data'!D11/'Raw Data'!C11-1</f>
        <v>0.36656553738974096</v>
      </c>
      <c r="D4" s="16">
        <f>'Raw Data'!E11/'Raw Data'!D11-1</f>
        <v>0.26474911094209297</v>
      </c>
      <c r="E4" s="16">
        <f>'Raw Data'!F11/'Raw Data'!E11-1</f>
        <v>0.16131732390646247</v>
      </c>
      <c r="F4" s="17">
        <f>('Raw Data'!F11/'Raw Data'!B11)^(1/4)-1</f>
        <v>0.1967954359616233</v>
      </c>
    </row>
    <row r="5" spans="1:6">
      <c r="A5" s="7" t="s">
        <v>81</v>
      </c>
      <c r="B5" s="16">
        <f>'Business Drivers'!C2/'Business Drivers'!B2-1</f>
        <v>7.1507264085898026E-2</v>
      </c>
      <c r="C5" s="16">
        <f>'Business Drivers'!D2/'Business Drivers'!C2-1</f>
        <v>0.39076611647461856</v>
      </c>
      <c r="D5" s="16">
        <f>'Business Drivers'!E2/'Business Drivers'!D2-1</f>
        <v>0.24222102209298879</v>
      </c>
      <c r="E5" s="16">
        <f>'Business Drivers'!F2/'Business Drivers'!E2-1</f>
        <v>0.11869129024604574</v>
      </c>
      <c r="F5" s="17">
        <f>('Business Drivers'!F2/'Business Drivers'!B2)^(1/4)-1</f>
        <v>0.19960864838294623</v>
      </c>
    </row>
    <row r="6" spans="1:6">
      <c r="A6" s="7" t="s">
        <v>82</v>
      </c>
      <c r="B6" s="16">
        <f>'Business Drivers'!C3/'Business Drivers'!B3-1</f>
        <v>0.17703349282296643</v>
      </c>
      <c r="C6" s="16">
        <f>'Business Drivers'!D3/'Business Drivers'!C3-1</f>
        <v>0.61382113821138207</v>
      </c>
      <c r="D6" s="16">
        <f>'Business Drivers'!E3/'Business Drivers'!D3-1</f>
        <v>0.26952141057934509</v>
      </c>
      <c r="E6" s="16">
        <f>'Business Drivers'!F3/'Business Drivers'!E3-1</f>
        <v>0.10615079365079372</v>
      </c>
      <c r="F6" s="17">
        <f>('Business Drivers'!F3/'Business Drivers'!B3)^(1/4)-1</f>
        <v>0.27798173353215749</v>
      </c>
    </row>
    <row r="7" spans="1:6">
      <c r="A7" s="7" t="s">
        <v>83</v>
      </c>
      <c r="B7" s="16">
        <f>'Business Drivers'!C4/'Business Drivers'!B4-1</f>
        <v>0.13793103448275867</v>
      </c>
      <c r="C7" s="16">
        <f>'Business Drivers'!D4/'Business Drivers'!C4-1</f>
        <v>0.45454545454545459</v>
      </c>
      <c r="D7" s="16">
        <f>'Business Drivers'!E4/'Business Drivers'!D4-1</f>
        <v>0.375</v>
      </c>
      <c r="E7" s="16">
        <f>'Business Drivers'!F4/'Business Drivers'!E4-1</f>
        <v>0.26515151515151514</v>
      </c>
      <c r="F7" s="17">
        <f>('Business Drivers'!F4/'Business Drivers'!B4)^(1/4)-1</f>
        <v>0.30263312988662316</v>
      </c>
    </row>
    <row r="9" spans="1:6" ht="25.5" customHeight="1">
      <c r="A9" s="35" t="s">
        <v>84</v>
      </c>
      <c r="B9" s="35"/>
      <c r="C9" s="35"/>
      <c r="D9" s="35"/>
      <c r="E9" s="35"/>
      <c r="F9" s="35"/>
    </row>
  </sheetData>
  <mergeCells count="1">
    <mergeCell ref="A9:F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showGridLines="0" zoomScaleNormal="100" workbookViewId="0">
      <selection activeCell="B1" sqref="B1:F1"/>
    </sheetView>
  </sheetViews>
  <sheetFormatPr defaultColWidth="8.7109375" defaultRowHeight="15"/>
  <cols>
    <col min="1" max="1" width="26" customWidth="1"/>
    <col min="2" max="6" width="13" customWidth="1"/>
  </cols>
  <sheetData>
    <row r="1" spans="1:6">
      <c r="A1" s="3" t="s">
        <v>85</v>
      </c>
      <c r="B1" s="34" t="s">
        <v>48</v>
      </c>
      <c r="C1" s="34" t="s">
        <v>49</v>
      </c>
      <c r="D1" s="34" t="s">
        <v>50</v>
      </c>
      <c r="E1" s="34" t="s">
        <v>51</v>
      </c>
      <c r="F1" s="34" t="s">
        <v>52</v>
      </c>
    </row>
    <row r="2" spans="1:6">
      <c r="A2" s="7" t="s">
        <v>86</v>
      </c>
      <c r="B2" s="16">
        <f>('Raw Data'!B8-'Raw Data'!B7-'Raw Data'!B9)/'Raw Data'!B6</f>
        <v>0.72680300279857812</v>
      </c>
      <c r="C2" s="16">
        <f>('Raw Data'!C8-'Raw Data'!C7-'Raw Data'!C9)/'Raw Data'!C6</f>
        <v>0.71757560653679808</v>
      </c>
      <c r="D2" s="16">
        <f>('Raw Data'!D8-'Raw Data'!D7-'Raw Data'!D9)/'Raw Data'!D6</f>
        <v>0.73523914919303346</v>
      </c>
      <c r="E2" s="16">
        <f>('Raw Data'!E8-'Raw Data'!E7-'Raw Data'!E9)/'Raw Data'!E6</f>
        <v>0.77935580884097622</v>
      </c>
      <c r="F2" s="16">
        <f>('Raw Data'!F8-'Raw Data'!F7-'Raw Data'!F9)/'Raw Data'!F6</f>
        <v>0.77975636938422221</v>
      </c>
    </row>
    <row r="3" spans="1:6">
      <c r="A3" s="7" t="s">
        <v>87</v>
      </c>
      <c r="B3" s="16">
        <f>'Raw Data'!B11/'Raw Data'!B6</f>
        <v>0.65857820891006735</v>
      </c>
      <c r="C3" s="16">
        <f>'Raw Data'!C11/'Raw Data'!C6</f>
        <v>0.65715037312916225</v>
      </c>
      <c r="D3" s="16">
        <f>'Raw Data'!D11/'Raw Data'!D6</f>
        <v>0.75294172274093885</v>
      </c>
      <c r="E3" s="16">
        <f>'Raw Data'!E11/'Raw Data'!E6</f>
        <v>0.70355314276893</v>
      </c>
      <c r="F3" s="16">
        <f>'Raw Data'!F11/'Raw Data'!F6</f>
        <v>0.69395148268921192</v>
      </c>
    </row>
    <row r="4" spans="1:6">
      <c r="A4" s="7" t="s">
        <v>88</v>
      </c>
      <c r="B4" s="28" t="s">
        <v>89</v>
      </c>
      <c r="C4" s="16">
        <f>'Raw Data'!C11/AVERAGE('Raw Data'!B13,'Raw Data'!C13)</f>
        <v>0.24469237742139202</v>
      </c>
      <c r="D4" s="16">
        <f>'Raw Data'!D11/AVERAGE('Raw Data'!C13,'Raw Data'!D13)</f>
        <v>0.29511021059368436</v>
      </c>
      <c r="E4" s="16">
        <f>'Raw Data'!E11/AVERAGE('Raw Data'!D13,'Raw Data'!E13)</f>
        <v>0.32354118558805151</v>
      </c>
      <c r="F4" s="16">
        <f>'Raw Data'!F11/AVERAGE('Raw Data'!E13,'Raw Data'!F13)</f>
        <v>0.32917041697691307</v>
      </c>
    </row>
    <row r="5" spans="1:6">
      <c r="A5" s="7" t="s">
        <v>90</v>
      </c>
      <c r="B5" s="28" t="s">
        <v>89</v>
      </c>
      <c r="C5" s="16">
        <f>'Raw Data'!C11/AVERAGE('Raw Data'!B12,'Raw Data'!C12)</f>
        <v>0.22935193164155307</v>
      </c>
      <c r="D5" s="16">
        <f>'Raw Data'!D11/AVERAGE('Raw Data'!C12,'Raw Data'!D12)</f>
        <v>0.27612728180910001</v>
      </c>
      <c r="E5" s="16">
        <f>'Raw Data'!E11/AVERAGE('Raw Data'!D12,'Raw Data'!E12)</f>
        <v>0.30176234950506342</v>
      </c>
      <c r="F5" s="16">
        <f>'Raw Data'!F11/AVERAGE('Raw Data'!E12,'Raw Data'!F12)</f>
        <v>0.30498953688022962</v>
      </c>
    </row>
    <row r="7" spans="1:6" ht="84" customHeight="1">
      <c r="A7" s="35" t="s">
        <v>91</v>
      </c>
      <c r="B7" s="35"/>
      <c r="C7" s="35"/>
      <c r="D7" s="35"/>
      <c r="E7" s="35"/>
      <c r="F7" s="35"/>
    </row>
    <row r="8" spans="1:6" ht="15" customHeight="1"/>
  </sheetData>
  <mergeCells count="1">
    <mergeCell ref="A7:F7"/>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
  <sheetViews>
    <sheetView showGridLines="0" zoomScaleNormal="100" workbookViewId="0">
      <selection activeCell="I5" sqref="I5"/>
    </sheetView>
  </sheetViews>
  <sheetFormatPr defaultColWidth="8.7109375" defaultRowHeight="15"/>
  <cols>
    <col min="1" max="1" width="26" customWidth="1"/>
    <col min="2" max="5" width="13" customWidth="1"/>
    <col min="6" max="6" width="12.28515625" bestFit="1" customWidth="1"/>
  </cols>
  <sheetData>
    <row r="1" spans="1:6">
      <c r="A1" s="3" t="s">
        <v>92</v>
      </c>
      <c r="B1" s="34" t="s">
        <v>48</v>
      </c>
      <c r="C1" s="34" t="s">
        <v>49</v>
      </c>
      <c r="D1" s="34" t="s">
        <v>50</v>
      </c>
      <c r="E1" s="34" t="s">
        <v>51</v>
      </c>
      <c r="F1" s="34" t="s">
        <v>52</v>
      </c>
    </row>
    <row r="2" spans="1:6">
      <c r="A2" s="7" t="s">
        <v>93</v>
      </c>
      <c r="B2" s="8">
        <v>1253.73</v>
      </c>
      <c r="C2" s="8">
        <v>1149.32</v>
      </c>
      <c r="D2" s="8">
        <v>1620.01</v>
      </c>
      <c r="E2" s="8">
        <v>2076.6999999999998</v>
      </c>
      <c r="F2" s="8">
        <v>2530.09</v>
      </c>
    </row>
    <row r="3" spans="1:6">
      <c r="A3" s="7" t="s">
        <v>94</v>
      </c>
      <c r="B3" s="8">
        <v>10.23</v>
      </c>
      <c r="C3" s="8">
        <v>14.1</v>
      </c>
      <c r="D3" s="8">
        <v>18.559999999999999</v>
      </c>
      <c r="E3" s="8">
        <v>44.76</v>
      </c>
      <c r="F3" s="13" t="s">
        <v>95</v>
      </c>
    </row>
    <row r="4" spans="1:6">
      <c r="A4" s="4" t="s">
        <v>96</v>
      </c>
      <c r="B4" s="9">
        <f>B2-B3</f>
        <v>1243.5</v>
      </c>
      <c r="C4" s="9">
        <f>C2-C3</f>
        <v>1135.22</v>
      </c>
      <c r="D4" s="9">
        <f>D2-D3</f>
        <v>1601.45</v>
      </c>
      <c r="E4" s="9">
        <f>E2-E3</f>
        <v>2031.9399999999998</v>
      </c>
      <c r="F4" s="18" t="s">
        <v>89</v>
      </c>
    </row>
    <row r="5" spans="1:6">
      <c r="A5" s="7" t="s">
        <v>97</v>
      </c>
      <c r="B5" s="13" t="s">
        <v>70</v>
      </c>
      <c r="C5" s="13" t="s">
        <v>70</v>
      </c>
      <c r="D5" s="8">
        <v>10.210000000000001</v>
      </c>
      <c r="E5" s="8">
        <v>11.58</v>
      </c>
      <c r="F5" s="8">
        <v>10.97</v>
      </c>
    </row>
    <row r="6" spans="1:6">
      <c r="A6" s="7" t="s">
        <v>61</v>
      </c>
      <c r="B6" s="8">
        <v>0</v>
      </c>
      <c r="C6" s="8">
        <v>0</v>
      </c>
      <c r="D6" s="8">
        <v>0</v>
      </c>
      <c r="E6" s="8">
        <v>0</v>
      </c>
      <c r="F6" s="8">
        <v>0</v>
      </c>
    </row>
    <row r="8" spans="1:6" ht="15.75">
      <c r="A8" s="6" t="s">
        <v>98</v>
      </c>
    </row>
    <row r="9" spans="1:6">
      <c r="A9" s="3" t="s">
        <v>99</v>
      </c>
      <c r="B9" s="34" t="s">
        <v>48</v>
      </c>
      <c r="C9" s="34" t="s">
        <v>49</v>
      </c>
      <c r="D9" s="34" t="s">
        <v>50</v>
      </c>
      <c r="E9" s="34" t="s">
        <v>51</v>
      </c>
      <c r="F9" s="34" t="s">
        <v>52</v>
      </c>
    </row>
    <row r="10" spans="1:6">
      <c r="A10" s="7" t="s">
        <v>100</v>
      </c>
      <c r="B10" s="15" t="s">
        <v>101</v>
      </c>
      <c r="C10" s="15" t="s">
        <v>101</v>
      </c>
      <c r="D10" s="15" t="s">
        <v>101</v>
      </c>
      <c r="E10" s="15" t="s">
        <v>101</v>
      </c>
      <c r="F10" s="15" t="s">
        <v>101</v>
      </c>
    </row>
    <row r="11" spans="1:6">
      <c r="A11" s="7" t="s">
        <v>102</v>
      </c>
      <c r="B11" s="13" t="s">
        <v>70</v>
      </c>
      <c r="C11" s="13" t="s">
        <v>70</v>
      </c>
      <c r="D11" s="19">
        <v>6.78</v>
      </c>
      <c r="E11" s="19">
        <v>8.0299999999999994</v>
      </c>
      <c r="F11" s="13" t="s">
        <v>70</v>
      </c>
    </row>
    <row r="13" spans="1:6" ht="57.75" customHeight="1">
      <c r="A13" s="35" t="s">
        <v>103</v>
      </c>
      <c r="B13" s="35"/>
      <c r="C13" s="35"/>
      <c r="D13" s="35"/>
      <c r="E13" s="35"/>
      <c r="F13" s="35"/>
    </row>
  </sheetData>
  <mergeCells count="1">
    <mergeCell ref="A13:F13"/>
  </mergeCell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showGridLines="0" zoomScaleNormal="100" workbookViewId="0">
      <selection activeCell="B12" sqref="B12"/>
    </sheetView>
  </sheetViews>
  <sheetFormatPr defaultColWidth="8.7109375" defaultRowHeight="15"/>
  <cols>
    <col min="1" max="1" width="34" customWidth="1"/>
    <col min="2" max="2" width="14" customWidth="1"/>
    <col min="3" max="3" width="16" customWidth="1"/>
    <col min="4" max="4" width="12" customWidth="1"/>
    <col min="5" max="5" width="18" customWidth="1"/>
  </cols>
  <sheetData>
    <row r="1" spans="1:5" ht="30">
      <c r="A1" s="3" t="s">
        <v>76</v>
      </c>
      <c r="B1" s="3" t="s">
        <v>104</v>
      </c>
      <c r="C1" s="3" t="s">
        <v>105</v>
      </c>
      <c r="D1" s="3" t="s">
        <v>106</v>
      </c>
      <c r="E1" s="3" t="s">
        <v>107</v>
      </c>
    </row>
    <row r="2" spans="1:5">
      <c r="A2" s="7" t="s">
        <v>108</v>
      </c>
      <c r="B2" s="20">
        <f>'Raw Data'!F6</f>
        <v>4118.53</v>
      </c>
      <c r="C2" s="8">
        <v>2924</v>
      </c>
      <c r="D2" s="8">
        <v>1705</v>
      </c>
      <c r="E2" s="8">
        <v>1845.03</v>
      </c>
    </row>
    <row r="3" spans="1:5">
      <c r="A3" s="7" t="s">
        <v>109</v>
      </c>
      <c r="B3" s="20">
        <f>'Raw Data'!F11</f>
        <v>2858.06</v>
      </c>
      <c r="C3" s="8">
        <v>1529</v>
      </c>
      <c r="D3" s="8">
        <v>472</v>
      </c>
      <c r="E3" s="8">
        <v>975.07</v>
      </c>
    </row>
    <row r="4" spans="1:5">
      <c r="A4" s="7" t="s">
        <v>110</v>
      </c>
      <c r="B4" s="16">
        <f>Profitability!F4</f>
        <v>0.32917041697691307</v>
      </c>
      <c r="C4" s="14">
        <v>0.34499999999999997</v>
      </c>
      <c r="D4" s="14">
        <v>0.10299999999999999</v>
      </c>
      <c r="E4" s="21">
        <v>0.25530000000000003</v>
      </c>
    </row>
    <row r="5" spans="1:5">
      <c r="A5" s="7" t="s">
        <v>111</v>
      </c>
      <c r="B5" s="22">
        <f>B3/B2</f>
        <v>0.69395148268921192</v>
      </c>
      <c r="C5" s="22">
        <f>C3/C2</f>
        <v>0.52291381668946646</v>
      </c>
      <c r="D5" s="22">
        <f>D3/D2</f>
        <v>0.27683284457478008</v>
      </c>
      <c r="E5" s="22">
        <f>E3/E2</f>
        <v>0.52848463168620563</v>
      </c>
    </row>
    <row r="6" spans="1:5">
      <c r="A6" s="7" t="s">
        <v>112</v>
      </c>
      <c r="B6" s="8">
        <v>103257.58</v>
      </c>
      <c r="C6" s="8">
        <v>75632</v>
      </c>
      <c r="D6" s="8">
        <v>11800</v>
      </c>
      <c r="E6" s="8">
        <v>26053.65</v>
      </c>
    </row>
    <row r="7" spans="1:5">
      <c r="A7" s="7" t="s">
        <v>113</v>
      </c>
      <c r="B7" s="19">
        <v>35.03</v>
      </c>
      <c r="C7" s="19">
        <v>46.6</v>
      </c>
      <c r="D7" s="19">
        <v>27</v>
      </c>
      <c r="E7" s="19">
        <v>26.02</v>
      </c>
    </row>
    <row r="8" spans="1:5">
      <c r="A8" s="7" t="s">
        <v>114</v>
      </c>
      <c r="B8" s="19">
        <v>11.19</v>
      </c>
      <c r="C8" s="19">
        <v>16.36</v>
      </c>
      <c r="D8" s="19">
        <v>2.7</v>
      </c>
      <c r="E8" s="19">
        <v>6.28</v>
      </c>
    </row>
    <row r="10" spans="1:5" ht="15.75">
      <c r="A10" s="6" t="s">
        <v>115</v>
      </c>
    </row>
    <row r="11" spans="1:5" ht="30">
      <c r="A11" s="3" t="s">
        <v>76</v>
      </c>
      <c r="B11" s="3" t="s">
        <v>104</v>
      </c>
      <c r="C11" s="3" t="s">
        <v>105</v>
      </c>
      <c r="D11" s="3" t="s">
        <v>106</v>
      </c>
      <c r="E11" s="3" t="s">
        <v>107</v>
      </c>
    </row>
    <row r="12" spans="1:5">
      <c r="A12" s="7" t="s">
        <v>116</v>
      </c>
      <c r="B12" s="13" t="s">
        <v>70</v>
      </c>
      <c r="C12" s="8">
        <v>744</v>
      </c>
      <c r="D12" s="8">
        <v>417.78</v>
      </c>
      <c r="E12" s="8">
        <v>672.77</v>
      </c>
    </row>
    <row r="13" spans="1:5">
      <c r="A13" s="7" t="s">
        <v>117</v>
      </c>
      <c r="B13" s="23">
        <f>B3</f>
        <v>2858.06</v>
      </c>
      <c r="C13" s="23">
        <f>C3</f>
        <v>1529</v>
      </c>
      <c r="D13" s="23">
        <f>D3</f>
        <v>472</v>
      </c>
      <c r="E13" s="23">
        <f>E3</f>
        <v>975.07</v>
      </c>
    </row>
    <row r="15" spans="1:5" ht="48" customHeight="1">
      <c r="A15" s="35" t="s">
        <v>118</v>
      </c>
      <c r="B15" s="35"/>
      <c r="C15" s="35"/>
      <c r="D15" s="35"/>
      <c r="E15" s="35"/>
    </row>
  </sheetData>
  <mergeCells count="1">
    <mergeCell ref="A15:E15"/>
  </mergeCell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6"/>
  <sheetViews>
    <sheetView showGridLines="0" topLeftCell="A13" zoomScaleNormal="100" workbookViewId="0">
      <selection activeCell="E13" sqref="E13"/>
    </sheetView>
  </sheetViews>
  <sheetFormatPr defaultColWidth="8.7109375" defaultRowHeight="15"/>
  <cols>
    <col min="1" max="1" width="30" customWidth="1"/>
    <col min="2" max="3" width="16" customWidth="1"/>
    <col min="4" max="4" width="22" customWidth="1"/>
  </cols>
  <sheetData>
    <row r="1" spans="1:4" ht="30">
      <c r="A1" s="3" t="s">
        <v>119</v>
      </c>
      <c r="B1" s="3" t="s">
        <v>104</v>
      </c>
      <c r="C1" s="3" t="s">
        <v>120</v>
      </c>
      <c r="D1" s="3" t="s">
        <v>121</v>
      </c>
    </row>
    <row r="2" spans="1:4">
      <c r="A2" s="7" t="s">
        <v>122</v>
      </c>
      <c r="B2" s="24">
        <f>'Peer Comparison'!B7</f>
        <v>35.03</v>
      </c>
      <c r="C2" s="24">
        <f>MEDIAN('Peer Comparison'!C7:E7)</f>
        <v>27</v>
      </c>
      <c r="D2" s="25">
        <f>B2/C2-1</f>
        <v>0.29740740740740734</v>
      </c>
    </row>
    <row r="3" spans="1:4">
      <c r="A3" s="7" t="s">
        <v>123</v>
      </c>
      <c r="B3" s="24">
        <f>'Peer Comparison'!B8</f>
        <v>11.19</v>
      </c>
      <c r="C3" s="24">
        <f>MEDIAN('Peer Comparison'!C8:E8)</f>
        <v>6.28</v>
      </c>
      <c r="D3" s="25">
        <f>B3/C3-1</f>
        <v>0.78184713375796155</v>
      </c>
    </row>
    <row r="5" spans="1:4" ht="15.75">
      <c r="A5" s="6" t="s">
        <v>124</v>
      </c>
    </row>
    <row r="6" spans="1:4" ht="30">
      <c r="A6" s="3" t="s">
        <v>125</v>
      </c>
      <c r="B6" s="3" t="s">
        <v>104</v>
      </c>
      <c r="C6" s="3" t="s">
        <v>120</v>
      </c>
      <c r="D6" s="3" t="s">
        <v>126</v>
      </c>
    </row>
    <row r="7" spans="1:4">
      <c r="A7" s="7" t="s">
        <v>88</v>
      </c>
      <c r="B7" s="16">
        <f>'Peer Comparison'!B4</f>
        <v>0.32917041697691307</v>
      </c>
      <c r="C7" s="16">
        <f>MEDIAN('Peer Comparison'!C4:E4)</f>
        <v>0.25530000000000003</v>
      </c>
      <c r="D7" s="25">
        <f>B7-C7</f>
        <v>7.3870416976913045E-2</v>
      </c>
    </row>
    <row r="8" spans="1:4">
      <c r="A8" s="7" t="s">
        <v>87</v>
      </c>
      <c r="B8" s="16">
        <f>'Peer Comparison'!B5</f>
        <v>0.69395148268921192</v>
      </c>
      <c r="C8" s="16">
        <f>MEDIAN('Peer Comparison'!C5:E5)</f>
        <v>0.52291381668946646</v>
      </c>
      <c r="D8" s="25">
        <f>B8-C8</f>
        <v>0.17103766599974546</v>
      </c>
    </row>
    <row r="9" spans="1:4">
      <c r="A9" s="7" t="s">
        <v>127</v>
      </c>
      <c r="B9" s="16">
        <f>'Growth Analysis'!F4</f>
        <v>0.1967954359616233</v>
      </c>
      <c r="C9" s="22">
        <f>MEDIAN(B14:D14)</f>
        <v>9.7216410141272913E-2</v>
      </c>
      <c r="D9" s="25">
        <f>B9-C9</f>
        <v>9.9579025820350386E-2</v>
      </c>
    </row>
    <row r="10" spans="1:4">
      <c r="A10" s="7" t="s">
        <v>128</v>
      </c>
      <c r="B10" s="16">
        <f>'Growth Analysis'!F5</f>
        <v>0.19960864838294623</v>
      </c>
      <c r="C10" s="13" t="s">
        <v>70</v>
      </c>
      <c r="D10" s="13" t="s">
        <v>70</v>
      </c>
    </row>
    <row r="13" spans="1:4" ht="30">
      <c r="A13" s="3" t="s">
        <v>129</v>
      </c>
      <c r="B13" s="3" t="s">
        <v>105</v>
      </c>
      <c r="C13" s="3" t="s">
        <v>106</v>
      </c>
      <c r="D13" s="3" t="s">
        <v>107</v>
      </c>
    </row>
    <row r="14" spans="1:4">
      <c r="A14" s="7" t="s">
        <v>130</v>
      </c>
      <c r="B14" s="16">
        <f>('Peer Comparison'!C13/'Peer Comparison'!C12)^(1/4)-1</f>
        <v>0.19731559018470812</v>
      </c>
      <c r="C14" s="16">
        <f>('Peer Comparison'!D13/'Peer Comparison'!D12)^(1/4)-1</f>
        <v>3.0976077794769186E-2</v>
      </c>
      <c r="D14" s="16">
        <f>('Peer Comparison'!E13/'Peer Comparison'!E12)^(1/4)-1</f>
        <v>9.7216410141272913E-2</v>
      </c>
    </row>
    <row r="16" spans="1:4" ht="47.25" customHeight="1">
      <c r="A16" s="35" t="s">
        <v>131</v>
      </c>
      <c r="B16" s="35"/>
      <c r="C16" s="35"/>
      <c r="D16" s="35"/>
    </row>
    <row r="18" spans="1:4" ht="15.75">
      <c r="A18" s="6" t="s">
        <v>132</v>
      </c>
    </row>
    <row r="19" spans="1:4">
      <c r="A19" s="3" t="s">
        <v>133</v>
      </c>
      <c r="B19" s="3" t="s">
        <v>104</v>
      </c>
      <c r="C19" s="3" t="s">
        <v>120</v>
      </c>
    </row>
    <row r="20" spans="1:4">
      <c r="A20" s="7" t="s">
        <v>122</v>
      </c>
      <c r="B20" s="26">
        <f>B2</f>
        <v>35.03</v>
      </c>
      <c r="C20" s="26">
        <f>C2</f>
        <v>27</v>
      </c>
    </row>
    <row r="21" spans="1:4">
      <c r="A21" s="7" t="s">
        <v>123</v>
      </c>
      <c r="B21" s="26">
        <f>B3</f>
        <v>11.19</v>
      </c>
      <c r="C21" s="26">
        <f>C3</f>
        <v>6.28</v>
      </c>
    </row>
    <row r="22" spans="1:4">
      <c r="A22" s="7" t="s">
        <v>88</v>
      </c>
      <c r="B22" s="22">
        <f t="shared" ref="B22:C24" si="0">B7</f>
        <v>0.32917041697691307</v>
      </c>
      <c r="C22" s="22">
        <f t="shared" si="0"/>
        <v>0.25530000000000003</v>
      </c>
    </row>
    <row r="23" spans="1:4">
      <c r="A23" s="7" t="s">
        <v>87</v>
      </c>
      <c r="B23" s="22">
        <f t="shared" si="0"/>
        <v>0.69395148268921192</v>
      </c>
      <c r="C23" s="22">
        <f t="shared" si="0"/>
        <v>0.52291381668946646</v>
      </c>
    </row>
    <row r="24" spans="1:4">
      <c r="A24" s="7" t="s">
        <v>134</v>
      </c>
      <c r="B24" s="22">
        <f t="shared" si="0"/>
        <v>0.1967954359616233</v>
      </c>
      <c r="C24" s="22">
        <f t="shared" si="0"/>
        <v>9.7216410141272913E-2</v>
      </c>
    </row>
    <row r="26" spans="1:4" ht="66" customHeight="1">
      <c r="A26" s="30" t="s">
        <v>135</v>
      </c>
      <c r="B26" s="42" t="s">
        <v>136</v>
      </c>
      <c r="C26" s="43"/>
      <c r="D26" s="43"/>
    </row>
  </sheetData>
  <mergeCells count="2">
    <mergeCell ref="A16:D16"/>
    <mergeCell ref="B26:D26"/>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1"/>
  <sheetViews>
    <sheetView showGridLines="0" zoomScaleNormal="100" workbookViewId="0">
      <selection activeCell="D16" sqref="D16"/>
    </sheetView>
  </sheetViews>
  <sheetFormatPr defaultColWidth="8.7109375" defaultRowHeight="15"/>
  <cols>
    <col min="1" max="1" width="22" customWidth="1"/>
    <col min="2" max="2" width="80" customWidth="1"/>
  </cols>
  <sheetData>
    <row r="1" spans="1:2" ht="15.75">
      <c r="A1" s="36" t="s">
        <v>137</v>
      </c>
      <c r="B1" s="36"/>
    </row>
    <row r="3" spans="1:2">
      <c r="A3" s="3" t="s">
        <v>138</v>
      </c>
      <c r="B3" s="3" t="s">
        <v>139</v>
      </c>
    </row>
    <row r="4" spans="1:2" ht="31.5" customHeight="1">
      <c r="A4" s="4" t="s">
        <v>78</v>
      </c>
      <c r="B4" s="27" t="s">
        <v>140</v>
      </c>
    </row>
    <row r="5" spans="1:2" ht="31.5" customHeight="1">
      <c r="A5" s="4" t="s">
        <v>80</v>
      </c>
      <c r="B5" s="27" t="s">
        <v>141</v>
      </c>
    </row>
    <row r="6" spans="1:2" ht="31.5" customHeight="1">
      <c r="A6" s="4" t="s">
        <v>81</v>
      </c>
      <c r="B6" s="27" t="s">
        <v>142</v>
      </c>
    </row>
    <row r="7" spans="1:2" ht="31.5" customHeight="1">
      <c r="A7" s="4" t="s">
        <v>143</v>
      </c>
      <c r="B7" s="27" t="s">
        <v>144</v>
      </c>
    </row>
    <row r="8" spans="1:2" ht="31.5" customHeight="1">
      <c r="A8" s="4" t="s">
        <v>145</v>
      </c>
      <c r="B8" s="27" t="s">
        <v>146</v>
      </c>
    </row>
    <row r="9" spans="1:2" ht="31.5" customHeight="1">
      <c r="A9" s="4" t="s">
        <v>147</v>
      </c>
      <c r="B9" s="27" t="s">
        <v>148</v>
      </c>
    </row>
    <row r="10" spans="1:2" ht="31.5" customHeight="1">
      <c r="A10" s="4" t="s">
        <v>40</v>
      </c>
      <c r="B10" s="27" t="s">
        <v>149</v>
      </c>
    </row>
    <row r="12" spans="1:2" ht="15.75">
      <c r="A12" s="36" t="s">
        <v>150</v>
      </c>
      <c r="B12" s="36"/>
    </row>
    <row r="13" spans="1:2">
      <c r="A13" s="3" t="s">
        <v>151</v>
      </c>
      <c r="B13" s="3" t="s">
        <v>152</v>
      </c>
    </row>
    <row r="14" spans="1:2" ht="30" customHeight="1">
      <c r="A14" s="4" t="s">
        <v>153</v>
      </c>
      <c r="B14" s="27" t="s">
        <v>154</v>
      </c>
    </row>
    <row r="15" spans="1:2" ht="30" customHeight="1">
      <c r="A15" s="4" t="s">
        <v>155</v>
      </c>
      <c r="B15" s="27" t="s">
        <v>156</v>
      </c>
    </row>
    <row r="16" spans="1:2" ht="30" customHeight="1">
      <c r="A16" s="4" t="s">
        <v>157</v>
      </c>
      <c r="B16" s="27" t="s">
        <v>158</v>
      </c>
    </row>
    <row r="17" spans="1:2" ht="30" customHeight="1">
      <c r="A17" s="4" t="s">
        <v>54</v>
      </c>
      <c r="B17" s="27" t="s">
        <v>159</v>
      </c>
    </row>
    <row r="18" spans="1:2" ht="30" customHeight="1">
      <c r="A18" s="4" t="s">
        <v>160</v>
      </c>
      <c r="B18" s="27" t="s">
        <v>161</v>
      </c>
    </row>
    <row r="20" spans="1:2" ht="15.75">
      <c r="A20" s="36" t="s">
        <v>162</v>
      </c>
      <c r="B20" s="36"/>
    </row>
    <row r="21" spans="1:2" ht="183" customHeight="1">
      <c r="A21" s="43" t="s">
        <v>163</v>
      </c>
      <c r="B21" s="43"/>
    </row>
  </sheetData>
  <mergeCells count="4">
    <mergeCell ref="A1:B1"/>
    <mergeCell ref="A12:B12"/>
    <mergeCell ref="A20:B20"/>
    <mergeCell ref="A21:B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Aditushar Varkhede</cp:lastModifiedBy>
  <cp:revision>1</cp:revision>
  <dcterms:created xsi:type="dcterms:W3CDTF">2026-09-15T17:20:41Z</dcterms:created>
  <dcterms:modified xsi:type="dcterms:W3CDTF">2026-09-17T04:33:08Z</dcterms:modified>
  <cp:category/>
  <cp:contentStatus/>
</cp:coreProperties>
</file>